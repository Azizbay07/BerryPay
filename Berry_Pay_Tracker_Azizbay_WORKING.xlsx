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860c28e0e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лавная" sheetId="1" r:id="R84efd01452264889"/>
    <x:sheet xmlns:r="http://schemas.openxmlformats.org/officeDocument/2006/relationships" name="Рабочие дни" sheetId="2" r:id="R867fff78c5094335"/>
    <x:sheet xmlns:r="http://schemas.openxmlformats.org/officeDocument/2006/relationships" name="Недели" sheetId="3" r:id="Rb6075bd39ecf4b4e"/>
    <x:sheet xmlns:r="http://schemas.openxmlformats.org/officeDocument/2006/relationships" name="Детали дня" sheetId="4" r:id="Rdd90ea22251d4374"/>
    <x:sheet xmlns:r="http://schemas.openxmlformats.org/officeDocument/2006/relationships" name="Выплата" sheetId="5" r:id="R93137959ef4647a2"/>
    <x:sheet xmlns:r="http://schemas.openxmlformats.org/officeDocument/2006/relationships" name="Статистика сезона" sheetId="6" r:id="R074db928dc0d4832"/>
    <x:sheet xmlns:r="http://schemas.openxmlformats.org/officeDocument/2006/relationships" name="Настройки" sheetId="7" r:id="R84b5eabc6116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hh:mm"/>
    <x:numFmt numFmtId="202" formatCode="0.00"/>
    <x:numFmt numFmtId="203" formatCode="0"/>
    <x:numFmt numFmtId="204" formatCode="£#,##0.00"/>
  </x:numFmts>
  <x:fonts count="6">
    <x:font>
      <x:sz val="11"/>
      <x:name val="Carlito"/>
    </x:font>
    <x:font>
      <x:b/>
      <x:sz val="18"/>
      <x:color rgb="FF0F172A"/>
      <x:name val="Carlito"/>
    </x:font>
    <x:font>
      <x:b/>
      <x:i/>
      <x:sz val="11"/>
      <x:color rgb="FF64748B"/>
      <x:name val="Carlito"/>
    </x:font>
    <x:font>
      <x:b/>
      <x:sz val="11"/>
      <x:color rgb="FFFFFFFF"/>
      <x:name val="Carlito"/>
    </x:font>
    <x:font>
      <x:i/>
      <x:sz val="11"/>
      <x:color rgb="FF64748B"/>
      <x:name val="Carlito"/>
    </x:font>
    <x:font>
      <x:b/>
      <x:sz val="12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db6b85bb24234" /><Relationship Type="http://schemas.openxmlformats.org/officeDocument/2006/relationships/theme" Target="/xl/theme/theme1.xml" Id="R5c7c869bf31a4d27" /><Relationship Type="http://schemas.openxmlformats.org/officeDocument/2006/relationships/sharedStrings" Target="/xl/sharedStrings.xml" Id="R34917bc353db4452" /><Relationship Type="http://schemas.openxmlformats.org/officeDocument/2006/relationships/worksheet" Target="/xl/worksheets/sheet1.xml" Id="R84efd01452264889" /><Relationship Type="http://schemas.openxmlformats.org/officeDocument/2006/relationships/worksheet" Target="/xl/worksheets/sheet2.xml" Id="R867fff78c5094335" /><Relationship Type="http://schemas.openxmlformats.org/officeDocument/2006/relationships/worksheet" Target="/xl/worksheets/sheet3.xml" Id="Rb6075bd39ecf4b4e" /><Relationship Type="http://schemas.openxmlformats.org/officeDocument/2006/relationships/worksheet" Target="/xl/worksheets/sheet4.xml" Id="Rdd90ea22251d4374" /><Relationship Type="http://schemas.openxmlformats.org/officeDocument/2006/relationships/worksheet" Target="/xl/worksheets/sheet5.xml" Id="R93137959ef4647a2" /><Relationship Type="http://schemas.openxmlformats.org/officeDocument/2006/relationships/worksheet" Target="/xl/worksheets/sheet6.xml" Id="R074db928dc0d4832" /><Relationship Type="http://schemas.openxmlformats.org/officeDocument/2006/relationships/worksheet" Target="/xl/worksheets/sheet7.xml" Id="R84b5eabc611643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c27baf96d949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Обычный / овертайм / бонус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'Статистика сезона'!$A$7:$A$9</c:f>
              <c:strCache>
                <c:ptCount val="0"/>
              </c:strCache>
            </c:strRef>
          </c:cat>
          <c:val>
            <c:numRef>
              <c:f>'Статистика сезона'!$B$7:$B$9</c:f>
              <c:numCache>
                <c:formatCode>£#,##0.00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27baf96d949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DaysTable" displayName="WorkDaysTable" ref="A4:Q124" headerRowCount="1">
  <x:tableColumns count="17">
    <x:tableColumn id="1" name="Дата"/>
    <x:tableColumn id="2" name="День"/>
    <x:tableColumn id="3" name="Начало"/>
    <x:tableColumn id="4" name="Конец"/>
    <x:tableColumn id="5" name="Стандарт кг"/>
    <x:tableColumn id="6" name="Рабиш кг"/>
    <x:tableColumn id="7" name="Break мин"/>
    <x:tableColumn id="8" name="Lunch мин"/>
    <x:tableColumn id="9" name="Рабочие часы"/>
    <x:tableColumn id="10" name="Обычные часы"/>
    <x:tableColumn id="11" name="Овертайм часы"/>
    <x:tableColumn id="12" name="Обычный заработок (£)"/>
    <x:tableColumn id="13" name="Овертайм заработок (£)"/>
    <x:tableColumn id="14" name="Сверх нормы кг"/>
    <x:tableColumn id="15" name="Бонус (£)"/>
    <x:tableColumn id="16" name="Итого без бонуса (£)"/>
    <x:tableColumn id="17" name="Итого с бонусом (£)"/>
  </x:tableColumns>
  <x:tableStyleInfo name="TableStyleMedium2" showRowStripes="1"/>
</x:table>
</file>

<file path=xl/tables/table2.xml><?xml version="1.0" encoding="utf-8"?>
<x:table xmlns:x="http://schemas.openxmlformats.org/spreadsheetml/2006/main" id="2" name="WeeksTable" displayName="WeeksTable" ref="A4:L24" headerRowCount="1">
  <x:tableColumns count="12">
    <x:tableColumn id="1" name="Старт недели"/>
    <x:tableColumn id="2" name="Конец недели"/>
    <x:tableColumn id="3" name="Рабочие дни"/>
    <x:tableColumn id="4" name="Часы"/>
    <x:tableColumn id="5" name="Обычные часы"/>
    <x:tableColumn id="6" name="Овертайм часы"/>
    <x:tableColumn id="7" name="Обычный заработок (£)"/>
    <x:tableColumn id="8" name="Овертайм заработок (£)"/>
    <x:tableColumn id="9" name="Бонусы (£)"/>
    <x:tableColumn id="10" name="Стандарт кг"/>
    <x:tableColumn id="11" name="Рабиш кг"/>
    <x:tableColumn id="12" name="Итого (£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a65f72bc7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fd398a0c354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eebc32350774c7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3" t="str">
        <x:v>🍓 Berry Pay Tracker</x:v>
      </x:c>
    </x:row>
    <x:row r="2">
      <x:c r="A2" s="6" t="str">
        <x:v>Created by Azizbay</x:v>
      </x:c>
    </x:row>
    <x:row r="4">
      <x:c r="A4" s="29" t="str">
        <x:v>Последний день</x:v>
      </x:c>
      <x:c r="B4" s="18" t="n">
        <x:f>LOOKUP(2,1/('Рабочие дни'!A5:A124&lt;&gt;""),'Рабочие дни'!A5:A124)</x:f>
        <x:v>46199</x:v>
      </x:c>
    </x:row>
    <x:row r="5">
      <x:c r="A5" s="29" t="str">
        <x:v>Итого последний день</x:v>
      </x:c>
      <x:c r="B5" s="26" t="n">
        <x:f>LOOKUP(2,1/('Рабочие дни'!Q5:Q124&lt;&gt;""),'Рабочие дни'!Q5:Q124)</x:f>
        <x:v>194.4075</x:v>
      </x:c>
    </x:row>
    <x:row r="6">
      <x:c r="A6" s="29" t="str">
        <x:v>Обычная зарплата сезон</x:v>
      </x:c>
      <x:c r="B6" s="26" t="n">
        <x:f>SUM('Рабочие дни'!L5:L124)</x:f>
        <x:v>101.68</x:v>
      </x:c>
    </x:row>
    <x:row r="7">
      <x:c r="A7" s="29" t="str">
        <x:v>Овертайм заработок сезон</x:v>
      </x:c>
      <x:c r="B7" s="26" t="n">
        <x:f>SUM('Рабочие дни'!M5:M124)</x:f>
        <x:v>61.9775</x:v>
      </x:c>
    </x:row>
    <x:row r="8">
      <x:c r="A8" s="29" t="str">
        <x:v>Бонусы сезон</x:v>
      </x:c>
      <x:c r="B8" s="26" t="n">
        <x:f>SUM('Рабочие дни'!O5:O124)</x:f>
        <x:v>30.75</x:v>
      </x:c>
    </x:row>
    <x:row r="9">
      <x:c r="A9" s="29" t="str">
        <x:v>Всего с бонусами</x:v>
      </x:c>
      <x:c r="B9" s="26" t="n">
        <x:f>SUM('Рабочие дни'!Q5:Q124)</x:f>
        <x:v>194.4075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20" hidden="0" customWidth="1"/>
    <x:col min="14" max="14" width="14" hidden="0" customWidth="1"/>
    <x:col min="15" max="15" width="12" hidden="0" customWidth="1"/>
    <x:col min="16" max="16" width="18" hidden="0" customWidth="1"/>
    <x:col min="17" max="17" width="18" hidden="0" customWidth="1"/>
  </x:cols>
  <x:sheetData>
    <x:row r="1">
      <x:c r="A1" s="3" t="str">
        <x:v>Рабочие дни — ввод данных</x:v>
      </x:c>
    </x:row>
    <x:row r="2">
      <x:c r="A2" s="16" t="str">
        <x:v>Created by Azizbay • Вводи: дату, начало, конец, стандарт кг и рабиш кг</x:v>
      </x:c>
    </x:row>
    <x:row r="4">
      <x:c r="A4" s="11" t="str">
        <x:v>Дата</x:v>
      </x:c>
      <x:c r="B4" s="11" t="str">
        <x:v>День</x:v>
      </x:c>
      <x:c r="C4" s="11" t="str">
        <x:v>Начало</x:v>
      </x:c>
      <x:c r="D4" s="11" t="str">
        <x:v>Конец</x:v>
      </x:c>
      <x:c r="E4" s="11" t="str">
        <x:v>Стандарт кг</x:v>
      </x:c>
      <x:c r="F4" s="11" t="str">
        <x:v>Рабиш кг</x:v>
      </x:c>
      <x:c r="G4" s="11" t="str">
        <x:v>Break мин</x:v>
      </x:c>
      <x:c r="H4" s="11" t="str">
        <x:v>Lunch мин</x:v>
      </x:c>
      <x:c r="I4" s="11" t="str">
        <x:v>Рабочие часы</x:v>
      </x:c>
      <x:c r="J4" s="11" t="str">
        <x:v>Обычные часы</x:v>
      </x:c>
      <x:c r="K4" s="11" t="str">
        <x:v>Овертайм часы</x:v>
      </x:c>
      <x:c r="L4" s="11" t="str">
        <x:v>Обычный заработок (£)</x:v>
      </x:c>
      <x:c r="M4" s="11" t="str">
        <x:v>Овертайм заработок (£)</x:v>
      </x:c>
      <x:c r="N4" s="11" t="str">
        <x:v>Сверх нормы кг</x:v>
      </x:c>
      <x:c r="O4" s="11" t="str">
        <x:v>Бонус (£)</x:v>
      </x:c>
      <x:c r="P4" s="11" t="str">
        <x:v>Итого без бонуса (£)</x:v>
      </x:c>
      <x:c r="Q4" s="11" t="str">
        <x:v>Итого с бонусом (£)</x:v>
      </x:c>
    </x:row>
    <x:row r="5">
      <x:c r="A5" s="18" t="n">
        <x:v>46199</x:v>
      </x:c>
      <x:c r="B5" t="str">
        <x:f>IF(A5="","",TEXT(A5,"dddd"))</x:f>
        <x:v>Friday</x:v>
      </x:c>
      <x:c r="C5" s="20" t="n">
        <x:v>0.20833333333333334</x:v>
      </x:c>
      <x:c r="D5" s="20" t="n">
        <x:v>0.7083333333333334</x:v>
      </x:c>
      <x:c r="E5" s="22" t="n">
        <x:v>89</x:v>
      </x:c>
      <x:c r="F5" s="22" t="n">
        <x:v>4</x:v>
      </x:c>
      <x:c r="G5" s="24" t="n">
        <x:f>IF(OR(A5="",C5="",D5=""),"",IF(D5&gt;TIME(8,0,0),'Настройки'!$B$9,0))</x:f>
        <x:v>15</x:v>
      </x:c>
      <x:c r="H5" s="24" t="n">
        <x:f>IF(OR(A5="",C5="",D5=""),"",IF(D5&gt;TIME(11,0,0),'Настройки'!$B$10,0))</x:f>
        <x:v>30</x:v>
      </x:c>
      <x:c r="I5" s="22" t="n">
        <x:f>IF(OR(A5="",C5="",D5=""),"",MAX(((D5-C5)*24)-((G5+H5)/60),0))</x:f>
        <x:v>11.25</x:v>
      </x:c>
      <x:c r="J5" s="22" t="n">
        <x:f>IF(I5="","",MIN(I5,8))</x:f>
        <x:v>8</x:v>
      </x:c>
      <x:c r="K5" s="22" t="n">
        <x:f>IF(I5="","",MAX(I5-8,0))</x:f>
        <x:v>3.25</x:v>
      </x:c>
      <x:c r="L5" s="26" t="n">
        <x:f>IF(J5="","",J5*'Настройки'!$B$5)</x:f>
        <x:v>101.68</x:v>
      </x:c>
      <x:c r="M5" s="26" t="n">
        <x:f>IF(K5="","",K5*'Настройки'!$B$6)</x:f>
        <x:v>61.9775</x:v>
      </x:c>
      <x:c r="N5" s="22" t="n">
        <x:f>IF(E5="","",MAX(E5-'Настройки'!$B$7,0))</x:f>
        <x:v>41</x:v>
      </x:c>
      <x:c r="O5" s="26" t="n">
        <x:f>IF(N5="","",N5*'Настройки'!$B$8)</x:f>
        <x:v>30.75</x:v>
      </x:c>
      <x:c r="P5" s="26" t="n">
        <x:f>IF(L5="","",L5+M5)</x:f>
        <x:v>163.6575</x:v>
      </x:c>
      <x:c r="Q5" s="26" t="n">
        <x:f>IF(P5="","",P5+O5)</x:f>
        <x:v>194.4075</x:v>
      </x:c>
    </x:row>
    <x:row r="6">
      <x:c r="A6" s="18"/>
      <x:c r="B6" t="str">
        <x:f>IF(A6="","",TEXT(A6,"dddd"))</x:f>
      </x:c>
      <x:c r="C6" s="20"/>
      <x:c r="D6" s="20"/>
      <x:c r="E6" s="22"/>
      <x:c r="F6" s="22"/>
      <x:c r="G6" s="24" t="str">
        <x:f>IF(OR(A6="",C6="",D6=""),"",IF(D6&gt;TIME(8,0,0),'Настройки'!$B$9,0))</x:f>
      </x:c>
      <x:c r="H6" s="24" t="str">
        <x:f>IF(OR(A6="",C6="",D6=""),"",IF(D6&gt;TIME(11,0,0),'Настройки'!$B$10,0))</x:f>
      </x:c>
      <x:c r="I6" s="22" t="str">
        <x:f>IF(OR(A6="",C6="",D6=""),"",MAX(((D6-C6)*24)-((G6+H6)/60),0))</x:f>
      </x:c>
      <x:c r="J6" s="22" t="str">
        <x:f>IF(I6="","",MIN(I6,8))</x:f>
      </x:c>
      <x:c r="K6" s="22" t="str">
        <x:f>IF(I6="","",MAX(I6-8,0))</x:f>
      </x:c>
      <x:c r="L6" s="26" t="str">
        <x:f>IF(J6="","",J6*'Настройки'!$B$5)</x:f>
      </x:c>
      <x:c r="M6" s="26" t="str">
        <x:f>IF(K6="","",K6*'Настройки'!$B$6)</x:f>
      </x:c>
      <x:c r="N6" s="22" t="str">
        <x:f>IF(E6="","",MAX(E6-'Настройки'!$B$7,0))</x:f>
      </x:c>
      <x:c r="O6" s="26" t="str">
        <x:f>IF(N6="","",N6*'Настройки'!$B$8)</x:f>
      </x:c>
      <x:c r="P6" s="26" t="str">
        <x:f>IF(L6="","",L6+M6)</x:f>
      </x:c>
      <x:c r="Q6" s="26" t="str">
        <x:f>IF(P6="","",P6+O6)</x:f>
      </x:c>
    </x:row>
    <x:row r="7">
      <x:c r="A7" s="18"/>
      <x:c r="B7" t="str">
        <x:f>IF(A7="","",TEXT(A7,"dddd"))</x:f>
      </x:c>
      <x:c r="C7" s="20"/>
      <x:c r="D7" s="20"/>
      <x:c r="E7" s="22"/>
      <x:c r="F7" s="22"/>
      <x:c r="G7" s="24" t="str">
        <x:f>IF(OR(A7="",C7="",D7=""),"",IF(D7&gt;TIME(8,0,0),'Настройки'!$B$9,0))</x:f>
      </x:c>
      <x:c r="H7" s="24" t="str">
        <x:f>IF(OR(A7="",C7="",D7=""),"",IF(D7&gt;TIME(11,0,0),'Настройки'!$B$10,0))</x:f>
      </x:c>
      <x:c r="I7" s="22" t="str">
        <x:f>IF(OR(A7="",C7="",D7=""),"",MAX(((D7-C7)*24)-((G7+H7)/60),0))</x:f>
      </x:c>
      <x:c r="J7" s="22" t="str">
        <x:f>IF(I7="","",MIN(I7,8))</x:f>
      </x:c>
      <x:c r="K7" s="22" t="str">
        <x:f>IF(I7="","",MAX(I7-8,0))</x:f>
      </x:c>
      <x:c r="L7" s="26" t="str">
        <x:f>IF(J7="","",J7*'Настройки'!$B$5)</x:f>
      </x:c>
      <x:c r="M7" s="26" t="str">
        <x:f>IF(K7="","",K7*'Настройки'!$B$6)</x:f>
      </x:c>
      <x:c r="N7" s="22" t="str">
        <x:f>IF(E7="","",MAX(E7-'Настройки'!$B$7,0))</x:f>
      </x:c>
      <x:c r="O7" s="26" t="str">
        <x:f>IF(N7="","",N7*'Настройки'!$B$8)</x:f>
      </x:c>
      <x:c r="P7" s="26" t="str">
        <x:f>IF(L7="","",L7+M7)</x:f>
      </x:c>
      <x:c r="Q7" s="26" t="str">
        <x:f>IF(P7="","",P7+O7)</x:f>
      </x:c>
    </x:row>
    <x:row r="8">
      <x:c r="A8" s="18"/>
      <x:c r="B8" t="str">
        <x:f>IF(A8="","",TEXT(A8,"dddd"))</x:f>
      </x:c>
      <x:c r="C8" s="20"/>
      <x:c r="D8" s="20"/>
      <x:c r="E8" s="22"/>
      <x:c r="F8" s="22"/>
      <x:c r="G8" s="24" t="str">
        <x:f>IF(OR(A8="",C8="",D8=""),"",IF(D8&gt;TIME(8,0,0),'Настройки'!$B$9,0))</x:f>
      </x:c>
      <x:c r="H8" s="24" t="str">
        <x:f>IF(OR(A8="",C8="",D8=""),"",IF(D8&gt;TIME(11,0,0),'Настройки'!$B$10,0))</x:f>
      </x:c>
      <x:c r="I8" s="22" t="str">
        <x:f>IF(OR(A8="",C8="",D8=""),"",MAX(((D8-C8)*24)-((G8+H8)/60),0))</x:f>
      </x:c>
      <x:c r="J8" s="22" t="str">
        <x:f>IF(I8="","",MIN(I8,8))</x:f>
      </x:c>
      <x:c r="K8" s="22" t="str">
        <x:f>IF(I8="","",MAX(I8-8,0))</x:f>
      </x:c>
      <x:c r="L8" s="26" t="str">
        <x:f>IF(J8="","",J8*'Настройки'!$B$5)</x:f>
      </x:c>
      <x:c r="M8" s="26" t="str">
        <x:f>IF(K8="","",K8*'Настройки'!$B$6)</x:f>
      </x:c>
      <x:c r="N8" s="22" t="str">
        <x:f>IF(E8="","",MAX(E8-'Настройки'!$B$7,0))</x:f>
      </x:c>
      <x:c r="O8" s="26" t="str">
        <x:f>IF(N8="","",N8*'Настройки'!$B$8)</x:f>
      </x:c>
      <x:c r="P8" s="26" t="str">
        <x:f>IF(L8="","",L8+M8)</x:f>
      </x:c>
      <x:c r="Q8" s="26" t="str">
        <x:f>IF(P8="","",P8+O8)</x:f>
      </x:c>
    </x:row>
    <x:row r="9">
      <x:c r="A9" s="18"/>
      <x:c r="B9" t="str">
        <x:f>IF(A9="","",TEXT(A9,"dddd"))</x:f>
      </x:c>
      <x:c r="C9" s="20"/>
      <x:c r="D9" s="20"/>
      <x:c r="E9" s="22"/>
      <x:c r="F9" s="22"/>
      <x:c r="G9" s="24" t="str">
        <x:f>IF(OR(A9="",C9="",D9=""),"",IF(D9&gt;TIME(8,0,0),'Настройки'!$B$9,0))</x:f>
      </x:c>
      <x:c r="H9" s="24" t="str">
        <x:f>IF(OR(A9="",C9="",D9=""),"",IF(D9&gt;TIME(11,0,0),'Настройки'!$B$10,0))</x:f>
      </x:c>
      <x:c r="I9" s="22" t="str">
        <x:f>IF(OR(A9="",C9="",D9=""),"",MAX(((D9-C9)*24)-((G9+H9)/60),0))</x:f>
      </x:c>
      <x:c r="J9" s="22" t="str">
        <x:f>IF(I9="","",MIN(I9,8))</x:f>
      </x:c>
      <x:c r="K9" s="22" t="str">
        <x:f>IF(I9="","",MAX(I9-8,0))</x:f>
      </x:c>
      <x:c r="L9" s="26" t="str">
        <x:f>IF(J9="","",J9*'Настройки'!$B$5)</x:f>
      </x:c>
      <x:c r="M9" s="26" t="str">
        <x:f>IF(K9="","",K9*'Настройки'!$B$6)</x:f>
      </x:c>
      <x:c r="N9" s="22" t="str">
        <x:f>IF(E9="","",MAX(E9-'Настройки'!$B$7,0))</x:f>
      </x:c>
      <x:c r="O9" s="26" t="str">
        <x:f>IF(N9="","",N9*'Настройки'!$B$8)</x:f>
      </x:c>
      <x:c r="P9" s="26" t="str">
        <x:f>IF(L9="","",L9+M9)</x:f>
      </x:c>
      <x:c r="Q9" s="26" t="str">
        <x:f>IF(P9="","",P9+O9)</x:f>
      </x:c>
    </x:row>
    <x:row r="10">
      <x:c r="A10" s="18"/>
      <x:c r="B10" t="str">
        <x:f>IF(A10="","",TEXT(A10,"dddd"))</x:f>
      </x:c>
      <x:c r="C10" s="20"/>
      <x:c r="D10" s="20"/>
      <x:c r="E10" s="22"/>
      <x:c r="F10" s="22"/>
      <x:c r="G10" s="24" t="str">
        <x:f>IF(OR(A10="",C10="",D10=""),"",IF(D10&gt;TIME(8,0,0),'Настройки'!$B$9,0))</x:f>
      </x:c>
      <x:c r="H10" s="24" t="str">
        <x:f>IF(OR(A10="",C10="",D10=""),"",IF(D10&gt;TIME(11,0,0),'Настройки'!$B$10,0))</x:f>
      </x:c>
      <x:c r="I10" s="22" t="str">
        <x:f>IF(OR(A10="",C10="",D10=""),"",MAX(((D10-C10)*24)-((G10+H10)/60),0))</x:f>
      </x:c>
      <x:c r="J10" s="22" t="str">
        <x:f>IF(I10="","",MIN(I10,8))</x:f>
      </x:c>
      <x:c r="K10" s="22" t="str">
        <x:f>IF(I10="","",MAX(I10-8,0))</x:f>
      </x:c>
      <x:c r="L10" s="26" t="str">
        <x:f>IF(J10="","",J10*'Настройки'!$B$5)</x:f>
      </x:c>
      <x:c r="M10" s="26" t="str">
        <x:f>IF(K10="","",K10*'Настройки'!$B$6)</x:f>
      </x:c>
      <x:c r="N10" s="22" t="str">
        <x:f>IF(E10="","",MAX(E10-'Настройки'!$B$7,0))</x:f>
      </x:c>
      <x:c r="O10" s="26" t="str">
        <x:f>IF(N10="","",N10*'Настройки'!$B$8)</x:f>
      </x:c>
      <x:c r="P10" s="26" t="str">
        <x:f>IF(L10="","",L10+M10)</x:f>
      </x:c>
      <x:c r="Q10" s="26" t="str">
        <x:f>IF(P10="","",P10+O10)</x:f>
      </x:c>
    </x:row>
    <x:row r="11">
      <x:c r="A11" s="18"/>
      <x:c r="B11" t="str">
        <x:f>IF(A11="","",TEXT(A11,"dddd"))</x:f>
      </x:c>
      <x:c r="C11" s="20"/>
      <x:c r="D11" s="20"/>
      <x:c r="E11" s="22"/>
      <x:c r="F11" s="22"/>
      <x:c r="G11" s="24" t="str">
        <x:f>IF(OR(A11="",C11="",D11=""),"",IF(D11&gt;TIME(8,0,0),'Настройки'!$B$9,0))</x:f>
      </x:c>
      <x:c r="H11" s="24" t="str">
        <x:f>IF(OR(A11="",C11="",D11=""),"",IF(D11&gt;TIME(11,0,0),'Настройки'!$B$10,0))</x:f>
      </x:c>
      <x:c r="I11" s="22" t="str">
        <x:f>IF(OR(A11="",C11="",D11=""),"",MAX(((D11-C11)*24)-((G11+H11)/60),0))</x:f>
      </x:c>
      <x:c r="J11" s="22" t="str">
        <x:f>IF(I11="","",MIN(I11,8))</x:f>
      </x:c>
      <x:c r="K11" s="22" t="str">
        <x:f>IF(I11="","",MAX(I11-8,0))</x:f>
      </x:c>
      <x:c r="L11" s="26" t="str">
        <x:f>IF(J11="","",J11*'Настройки'!$B$5)</x:f>
      </x:c>
      <x:c r="M11" s="26" t="str">
        <x:f>IF(K11="","",K11*'Настройки'!$B$6)</x:f>
      </x:c>
      <x:c r="N11" s="22" t="str">
        <x:f>IF(E11="","",MAX(E11-'Настройки'!$B$7,0))</x:f>
      </x:c>
      <x:c r="O11" s="26" t="str">
        <x:f>IF(N11="","",N11*'Настройки'!$B$8)</x:f>
      </x:c>
      <x:c r="P11" s="26" t="str">
        <x:f>IF(L11="","",L11+M11)</x:f>
      </x:c>
      <x:c r="Q11" s="26" t="str">
        <x:f>IF(P11="","",P11+O11)</x:f>
      </x:c>
    </x:row>
    <x:row r="12">
      <x:c r="A12" s="18"/>
      <x:c r="B12" t="str">
        <x:f>IF(A12="","",TEXT(A12,"dddd"))</x:f>
      </x:c>
      <x:c r="C12" s="20"/>
      <x:c r="D12" s="20"/>
      <x:c r="E12" s="22"/>
      <x:c r="F12" s="22"/>
      <x:c r="G12" s="24" t="str">
        <x:f>IF(OR(A12="",C12="",D12=""),"",IF(D12&gt;TIME(8,0,0),'Настройки'!$B$9,0))</x:f>
      </x:c>
      <x:c r="H12" s="24" t="str">
        <x:f>IF(OR(A12="",C12="",D12=""),"",IF(D12&gt;TIME(11,0,0),'Настройки'!$B$10,0))</x:f>
      </x:c>
      <x:c r="I12" s="22" t="str">
        <x:f>IF(OR(A12="",C12="",D12=""),"",MAX(((D12-C12)*24)-((G12+H12)/60),0))</x:f>
      </x:c>
      <x:c r="J12" s="22" t="str">
        <x:f>IF(I12="","",MIN(I12,8))</x:f>
      </x:c>
      <x:c r="K12" s="22" t="str">
        <x:f>IF(I12="","",MAX(I12-8,0))</x:f>
      </x:c>
      <x:c r="L12" s="26" t="str">
        <x:f>IF(J12="","",J12*'Настройки'!$B$5)</x:f>
      </x:c>
      <x:c r="M12" s="26" t="str">
        <x:f>IF(K12="","",K12*'Настройки'!$B$6)</x:f>
      </x:c>
      <x:c r="N12" s="22" t="str">
        <x:f>IF(E12="","",MAX(E12-'Настройки'!$B$7,0))</x:f>
      </x:c>
      <x:c r="O12" s="26" t="str">
        <x:f>IF(N12="","",N12*'Настройки'!$B$8)</x:f>
      </x:c>
      <x:c r="P12" s="26" t="str">
        <x:f>IF(L12="","",L12+M12)</x:f>
      </x:c>
      <x:c r="Q12" s="26" t="str">
        <x:f>IF(P12="","",P12+O12)</x:f>
      </x:c>
    </x:row>
    <x:row r="13">
      <x:c r="A13" s="18"/>
      <x:c r="B13" t="str">
        <x:f>IF(A13="","",TEXT(A13,"dddd"))</x:f>
      </x:c>
      <x:c r="C13" s="20"/>
      <x:c r="D13" s="20"/>
      <x:c r="E13" s="22"/>
      <x:c r="F13" s="22"/>
      <x:c r="G13" s="24" t="str">
        <x:f>IF(OR(A13="",C13="",D13=""),"",IF(D13&gt;TIME(8,0,0),'Настройки'!$B$9,0))</x:f>
      </x:c>
      <x:c r="H13" s="24" t="str">
        <x:f>IF(OR(A13="",C13="",D13=""),"",IF(D13&gt;TIME(11,0,0),'Настройки'!$B$10,0))</x:f>
      </x:c>
      <x:c r="I13" s="22" t="str">
        <x:f>IF(OR(A13="",C13="",D13=""),"",MAX(((D13-C13)*24)-((G13+H13)/60),0))</x:f>
      </x:c>
      <x:c r="J13" s="22" t="str">
        <x:f>IF(I13="","",MIN(I13,8))</x:f>
      </x:c>
      <x:c r="K13" s="22" t="str">
        <x:f>IF(I13="","",MAX(I13-8,0))</x:f>
      </x:c>
      <x:c r="L13" s="26" t="str">
        <x:f>IF(J13="","",J13*'Настройки'!$B$5)</x:f>
      </x:c>
      <x:c r="M13" s="26" t="str">
        <x:f>IF(K13="","",K13*'Настройки'!$B$6)</x:f>
      </x:c>
      <x:c r="N13" s="22" t="str">
        <x:f>IF(E13="","",MAX(E13-'Настройки'!$B$7,0))</x:f>
      </x:c>
      <x:c r="O13" s="26" t="str">
        <x:f>IF(N13="","",N13*'Настройки'!$B$8)</x:f>
      </x:c>
      <x:c r="P13" s="26" t="str">
        <x:f>IF(L13="","",L13+M13)</x:f>
      </x:c>
      <x:c r="Q13" s="26" t="str">
        <x:f>IF(P13="","",P13+O13)</x:f>
      </x:c>
    </x:row>
    <x:row r="14">
      <x:c r="A14" s="18"/>
      <x:c r="B14" t="str">
        <x:f>IF(A14="","",TEXT(A14,"dddd"))</x:f>
      </x:c>
      <x:c r="C14" s="20"/>
      <x:c r="D14" s="20"/>
      <x:c r="E14" s="22"/>
      <x:c r="F14" s="22"/>
      <x:c r="G14" s="24" t="str">
        <x:f>IF(OR(A14="",C14="",D14=""),"",IF(D14&gt;TIME(8,0,0),'Настройки'!$B$9,0))</x:f>
      </x:c>
      <x:c r="H14" s="24" t="str">
        <x:f>IF(OR(A14="",C14="",D14=""),"",IF(D14&gt;TIME(11,0,0),'Настройки'!$B$10,0))</x:f>
      </x:c>
      <x:c r="I14" s="22" t="str">
        <x:f>IF(OR(A14="",C14="",D14=""),"",MAX(((D14-C14)*24)-((G14+H14)/60),0))</x:f>
      </x:c>
      <x:c r="J14" s="22" t="str">
        <x:f>IF(I14="","",MIN(I14,8))</x:f>
      </x:c>
      <x:c r="K14" s="22" t="str">
        <x:f>IF(I14="","",MAX(I14-8,0))</x:f>
      </x:c>
      <x:c r="L14" s="26" t="str">
        <x:f>IF(J14="","",J14*'Настройки'!$B$5)</x:f>
      </x:c>
      <x:c r="M14" s="26" t="str">
        <x:f>IF(K14="","",K14*'Настройки'!$B$6)</x:f>
      </x:c>
      <x:c r="N14" s="22" t="str">
        <x:f>IF(E14="","",MAX(E14-'Настройки'!$B$7,0))</x:f>
      </x:c>
      <x:c r="O14" s="26" t="str">
        <x:f>IF(N14="","",N14*'Настройки'!$B$8)</x:f>
      </x:c>
      <x:c r="P14" s="26" t="str">
        <x:f>IF(L14="","",L14+M14)</x:f>
      </x:c>
      <x:c r="Q14" s="26" t="str">
        <x:f>IF(P14="","",P14+O14)</x:f>
      </x:c>
    </x:row>
    <x:row r="15">
      <x:c r="A15" s="18"/>
      <x:c r="B15" t="str">
        <x:f>IF(A15="","",TEXT(A15,"dddd"))</x:f>
      </x:c>
      <x:c r="C15" s="20"/>
      <x:c r="D15" s="20"/>
      <x:c r="E15" s="22"/>
      <x:c r="F15" s="22"/>
      <x:c r="G15" s="24" t="str">
        <x:f>IF(OR(A15="",C15="",D15=""),"",IF(D15&gt;TIME(8,0,0),'Настройки'!$B$9,0))</x:f>
      </x:c>
      <x:c r="H15" s="24" t="str">
        <x:f>IF(OR(A15="",C15="",D15=""),"",IF(D15&gt;TIME(11,0,0),'Настройки'!$B$10,0))</x:f>
      </x:c>
      <x:c r="I15" s="22" t="str">
        <x:f>IF(OR(A15="",C15="",D15=""),"",MAX(((D15-C15)*24)-((G15+H15)/60),0))</x:f>
      </x:c>
      <x:c r="J15" s="22" t="str">
        <x:f>IF(I15="","",MIN(I15,8))</x:f>
      </x:c>
      <x:c r="K15" s="22" t="str">
        <x:f>IF(I15="","",MAX(I15-8,0))</x:f>
      </x:c>
      <x:c r="L15" s="26" t="str">
        <x:f>IF(J15="","",J15*'Настройки'!$B$5)</x:f>
      </x:c>
      <x:c r="M15" s="26" t="str">
        <x:f>IF(K15="","",K15*'Настройки'!$B$6)</x:f>
      </x:c>
      <x:c r="N15" s="22" t="str">
        <x:f>IF(E15="","",MAX(E15-'Настройки'!$B$7,0))</x:f>
      </x:c>
      <x:c r="O15" s="26" t="str">
        <x:f>IF(N15="","",N15*'Настройки'!$B$8)</x:f>
      </x:c>
      <x:c r="P15" s="26" t="str">
        <x:f>IF(L15="","",L15+M15)</x:f>
      </x:c>
      <x:c r="Q15" s="26" t="str">
        <x:f>IF(P15="","",P15+O15)</x:f>
      </x:c>
    </x:row>
    <x:row r="16">
      <x:c r="A16" s="18"/>
      <x:c r="B16" t="str">
        <x:f>IF(A16="","",TEXT(A16,"dddd"))</x:f>
      </x:c>
      <x:c r="C16" s="20"/>
      <x:c r="D16" s="20"/>
      <x:c r="E16" s="22"/>
      <x:c r="F16" s="22"/>
      <x:c r="G16" s="24" t="str">
        <x:f>IF(OR(A16="",C16="",D16=""),"",IF(D16&gt;TIME(8,0,0),'Настройки'!$B$9,0))</x:f>
      </x:c>
      <x:c r="H16" s="24" t="str">
        <x:f>IF(OR(A16="",C16="",D16=""),"",IF(D16&gt;TIME(11,0,0),'Настройки'!$B$10,0))</x:f>
      </x:c>
      <x:c r="I16" s="22" t="str">
        <x:f>IF(OR(A16="",C16="",D16=""),"",MAX(((D16-C16)*24)-((G16+H16)/60),0))</x:f>
      </x:c>
      <x:c r="J16" s="22" t="str">
        <x:f>IF(I16="","",MIN(I16,8))</x:f>
      </x:c>
      <x:c r="K16" s="22" t="str">
        <x:f>IF(I16="","",MAX(I16-8,0))</x:f>
      </x:c>
      <x:c r="L16" s="26" t="str">
        <x:f>IF(J16="","",J16*'Настройки'!$B$5)</x:f>
      </x:c>
      <x:c r="M16" s="26" t="str">
        <x:f>IF(K16="","",K16*'Настройки'!$B$6)</x:f>
      </x:c>
      <x:c r="N16" s="22" t="str">
        <x:f>IF(E16="","",MAX(E16-'Настройки'!$B$7,0))</x:f>
      </x:c>
      <x:c r="O16" s="26" t="str">
        <x:f>IF(N16="","",N16*'Настройки'!$B$8)</x:f>
      </x:c>
      <x:c r="P16" s="26" t="str">
        <x:f>IF(L16="","",L16+M16)</x:f>
      </x:c>
      <x:c r="Q16" s="26" t="str">
        <x:f>IF(P16="","",P16+O16)</x:f>
      </x:c>
    </x:row>
    <x:row r="17">
      <x:c r="A17" s="18"/>
      <x:c r="B17" t="str">
        <x:f>IF(A17="","",TEXT(A17,"dddd"))</x:f>
      </x:c>
      <x:c r="C17" s="20"/>
      <x:c r="D17" s="20"/>
      <x:c r="E17" s="22"/>
      <x:c r="F17" s="22"/>
      <x:c r="G17" s="24" t="str">
        <x:f>IF(OR(A17="",C17="",D17=""),"",IF(D17&gt;TIME(8,0,0),'Настройки'!$B$9,0))</x:f>
      </x:c>
      <x:c r="H17" s="24" t="str">
        <x:f>IF(OR(A17="",C17="",D17=""),"",IF(D17&gt;TIME(11,0,0),'Настройки'!$B$10,0))</x:f>
      </x:c>
      <x:c r="I17" s="22" t="str">
        <x:f>IF(OR(A17="",C17="",D17=""),"",MAX(((D17-C17)*24)-((G17+H17)/60),0))</x:f>
      </x:c>
      <x:c r="J17" s="22" t="str">
        <x:f>IF(I17="","",MIN(I17,8))</x:f>
      </x:c>
      <x:c r="K17" s="22" t="str">
        <x:f>IF(I17="","",MAX(I17-8,0))</x:f>
      </x:c>
      <x:c r="L17" s="26" t="str">
        <x:f>IF(J17="","",J17*'Настройки'!$B$5)</x:f>
      </x:c>
      <x:c r="M17" s="26" t="str">
        <x:f>IF(K17="","",K17*'Настройки'!$B$6)</x:f>
      </x:c>
      <x:c r="N17" s="22" t="str">
        <x:f>IF(E17="","",MAX(E17-'Настройки'!$B$7,0))</x:f>
      </x:c>
      <x:c r="O17" s="26" t="str">
        <x:f>IF(N17="","",N17*'Настройки'!$B$8)</x:f>
      </x:c>
      <x:c r="P17" s="26" t="str">
        <x:f>IF(L17="","",L17+M17)</x:f>
      </x:c>
      <x:c r="Q17" s="26" t="str">
        <x:f>IF(P17="","",P17+O17)</x:f>
      </x:c>
    </x:row>
    <x:row r="18">
      <x:c r="A18" s="18"/>
      <x:c r="B18" t="str">
        <x:f>IF(A18="","",TEXT(A18,"dddd"))</x:f>
      </x:c>
      <x:c r="C18" s="20"/>
      <x:c r="D18" s="20"/>
      <x:c r="E18" s="22"/>
      <x:c r="F18" s="22"/>
      <x:c r="G18" s="24" t="str">
        <x:f>IF(OR(A18="",C18="",D18=""),"",IF(D18&gt;TIME(8,0,0),'Настройки'!$B$9,0))</x:f>
      </x:c>
      <x:c r="H18" s="24" t="str">
        <x:f>IF(OR(A18="",C18="",D18=""),"",IF(D18&gt;TIME(11,0,0),'Настройки'!$B$10,0))</x:f>
      </x:c>
      <x:c r="I18" s="22" t="str">
        <x:f>IF(OR(A18="",C18="",D18=""),"",MAX(((D18-C18)*24)-((G18+H18)/60),0))</x:f>
      </x:c>
      <x:c r="J18" s="22" t="str">
        <x:f>IF(I18="","",MIN(I18,8))</x:f>
      </x:c>
      <x:c r="K18" s="22" t="str">
        <x:f>IF(I18="","",MAX(I18-8,0))</x:f>
      </x:c>
      <x:c r="L18" s="26" t="str">
        <x:f>IF(J18="","",J18*'Настройки'!$B$5)</x:f>
      </x:c>
      <x:c r="M18" s="26" t="str">
        <x:f>IF(K18="","",K18*'Настройки'!$B$6)</x:f>
      </x:c>
      <x:c r="N18" s="22" t="str">
        <x:f>IF(E18="","",MAX(E18-'Настройки'!$B$7,0))</x:f>
      </x:c>
      <x:c r="O18" s="26" t="str">
        <x:f>IF(N18="","",N18*'Настройки'!$B$8)</x:f>
      </x:c>
      <x:c r="P18" s="26" t="str">
        <x:f>IF(L18="","",L18+M18)</x:f>
      </x:c>
      <x:c r="Q18" s="26" t="str">
        <x:f>IF(P18="","",P18+O18)</x:f>
      </x:c>
    </x:row>
    <x:row r="19">
      <x:c r="A19" s="18"/>
      <x:c r="B19" t="str">
        <x:f>IF(A19="","",TEXT(A19,"dddd"))</x:f>
      </x:c>
      <x:c r="C19" s="20"/>
      <x:c r="D19" s="20"/>
      <x:c r="E19" s="22"/>
      <x:c r="F19" s="22"/>
      <x:c r="G19" s="24" t="str">
        <x:f>IF(OR(A19="",C19="",D19=""),"",IF(D19&gt;TIME(8,0,0),'Настройки'!$B$9,0))</x:f>
      </x:c>
      <x:c r="H19" s="24" t="str">
        <x:f>IF(OR(A19="",C19="",D19=""),"",IF(D19&gt;TIME(11,0,0),'Настройки'!$B$10,0))</x:f>
      </x:c>
      <x:c r="I19" s="22" t="str">
        <x:f>IF(OR(A19="",C19="",D19=""),"",MAX(((D19-C19)*24)-((G19+H19)/60),0))</x:f>
      </x:c>
      <x:c r="J19" s="22" t="str">
        <x:f>IF(I19="","",MIN(I19,8))</x:f>
      </x:c>
      <x:c r="K19" s="22" t="str">
        <x:f>IF(I19="","",MAX(I19-8,0))</x:f>
      </x:c>
      <x:c r="L19" s="26" t="str">
        <x:f>IF(J19="","",J19*'Настройки'!$B$5)</x:f>
      </x:c>
      <x:c r="M19" s="26" t="str">
        <x:f>IF(K19="","",K19*'Настройки'!$B$6)</x:f>
      </x:c>
      <x:c r="N19" s="22" t="str">
        <x:f>IF(E19="","",MAX(E19-'Настройки'!$B$7,0))</x:f>
      </x:c>
      <x:c r="O19" s="26" t="str">
        <x:f>IF(N19="","",N19*'Настройки'!$B$8)</x:f>
      </x:c>
      <x:c r="P19" s="26" t="str">
        <x:f>IF(L19="","",L19+M19)</x:f>
      </x:c>
      <x:c r="Q19" s="26" t="str">
        <x:f>IF(P19="","",P19+O19)</x:f>
      </x:c>
    </x:row>
    <x:row r="20">
      <x:c r="A20" s="18"/>
      <x:c r="B20" t="str">
        <x:f>IF(A20="","",TEXT(A20,"dddd"))</x:f>
      </x:c>
      <x:c r="C20" s="20"/>
      <x:c r="D20" s="20"/>
      <x:c r="E20" s="22"/>
      <x:c r="F20" s="22"/>
      <x:c r="G20" s="24" t="str">
        <x:f>IF(OR(A20="",C20="",D20=""),"",IF(D20&gt;TIME(8,0,0),'Настройки'!$B$9,0))</x:f>
      </x:c>
      <x:c r="H20" s="24" t="str">
        <x:f>IF(OR(A20="",C20="",D20=""),"",IF(D20&gt;TIME(11,0,0),'Настройки'!$B$10,0))</x:f>
      </x:c>
      <x:c r="I20" s="22" t="str">
        <x:f>IF(OR(A20="",C20="",D20=""),"",MAX(((D20-C20)*24)-((G20+H20)/60),0))</x:f>
      </x:c>
      <x:c r="J20" s="22" t="str">
        <x:f>IF(I20="","",MIN(I20,8))</x:f>
      </x:c>
      <x:c r="K20" s="22" t="str">
        <x:f>IF(I20="","",MAX(I20-8,0))</x:f>
      </x:c>
      <x:c r="L20" s="26" t="str">
        <x:f>IF(J20="","",J20*'Настройки'!$B$5)</x:f>
      </x:c>
      <x:c r="M20" s="26" t="str">
        <x:f>IF(K20="","",K20*'Настройки'!$B$6)</x:f>
      </x:c>
      <x:c r="N20" s="22" t="str">
        <x:f>IF(E20="","",MAX(E20-'Настройки'!$B$7,0))</x:f>
      </x:c>
      <x:c r="O20" s="26" t="str">
        <x:f>IF(N20="","",N20*'Настройки'!$B$8)</x:f>
      </x:c>
      <x:c r="P20" s="26" t="str">
        <x:f>IF(L20="","",L20+M20)</x:f>
      </x:c>
      <x:c r="Q20" s="26" t="str">
        <x:f>IF(P20="","",P20+O20)</x:f>
      </x:c>
    </x:row>
    <x:row r="21">
      <x:c r="A21" s="18"/>
      <x:c r="B21" t="str">
        <x:f>IF(A21="","",TEXT(A21,"dddd"))</x:f>
      </x:c>
      <x:c r="C21" s="20"/>
      <x:c r="D21" s="20"/>
      <x:c r="E21" s="22"/>
      <x:c r="F21" s="22"/>
      <x:c r="G21" s="24" t="str">
        <x:f>IF(OR(A21="",C21="",D21=""),"",IF(D21&gt;TIME(8,0,0),'Настройки'!$B$9,0))</x:f>
      </x:c>
      <x:c r="H21" s="24" t="str">
        <x:f>IF(OR(A21="",C21="",D21=""),"",IF(D21&gt;TIME(11,0,0),'Настройки'!$B$10,0))</x:f>
      </x:c>
      <x:c r="I21" s="22" t="str">
        <x:f>IF(OR(A21="",C21="",D21=""),"",MAX(((D21-C21)*24)-((G21+H21)/60),0))</x:f>
      </x:c>
      <x:c r="J21" s="22" t="str">
        <x:f>IF(I21="","",MIN(I21,8))</x:f>
      </x:c>
      <x:c r="K21" s="22" t="str">
        <x:f>IF(I21="","",MAX(I21-8,0))</x:f>
      </x:c>
      <x:c r="L21" s="26" t="str">
        <x:f>IF(J21="","",J21*'Настройки'!$B$5)</x:f>
      </x:c>
      <x:c r="M21" s="26" t="str">
        <x:f>IF(K21="","",K21*'Настройки'!$B$6)</x:f>
      </x:c>
      <x:c r="N21" s="22" t="str">
        <x:f>IF(E21="","",MAX(E21-'Настройки'!$B$7,0))</x:f>
      </x:c>
      <x:c r="O21" s="26" t="str">
        <x:f>IF(N21="","",N21*'Настройки'!$B$8)</x:f>
      </x:c>
      <x:c r="P21" s="26" t="str">
        <x:f>IF(L21="","",L21+M21)</x:f>
      </x:c>
      <x:c r="Q21" s="26" t="str">
        <x:f>IF(P21="","",P21+O21)</x:f>
      </x:c>
    </x:row>
    <x:row r="22">
      <x:c r="A22" s="18"/>
      <x:c r="B22" t="str">
        <x:f>IF(A22="","",TEXT(A22,"dddd"))</x:f>
      </x:c>
      <x:c r="C22" s="20"/>
      <x:c r="D22" s="20"/>
      <x:c r="E22" s="22"/>
      <x:c r="F22" s="22"/>
      <x:c r="G22" s="24" t="str">
        <x:f>IF(OR(A22="",C22="",D22=""),"",IF(D22&gt;TIME(8,0,0),'Настройки'!$B$9,0))</x:f>
      </x:c>
      <x:c r="H22" s="24" t="str">
        <x:f>IF(OR(A22="",C22="",D22=""),"",IF(D22&gt;TIME(11,0,0),'Настройки'!$B$10,0))</x:f>
      </x:c>
      <x:c r="I22" s="22" t="str">
        <x:f>IF(OR(A22="",C22="",D22=""),"",MAX(((D22-C22)*24)-((G22+H22)/60),0))</x:f>
      </x:c>
      <x:c r="J22" s="22" t="str">
        <x:f>IF(I22="","",MIN(I22,8))</x:f>
      </x:c>
      <x:c r="K22" s="22" t="str">
        <x:f>IF(I22="","",MAX(I22-8,0))</x:f>
      </x:c>
      <x:c r="L22" s="26" t="str">
        <x:f>IF(J22="","",J22*'Настройки'!$B$5)</x:f>
      </x:c>
      <x:c r="M22" s="26" t="str">
        <x:f>IF(K22="","",K22*'Настройки'!$B$6)</x:f>
      </x:c>
      <x:c r="N22" s="22" t="str">
        <x:f>IF(E22="","",MAX(E22-'Настройки'!$B$7,0))</x:f>
      </x:c>
      <x:c r="O22" s="26" t="str">
        <x:f>IF(N22="","",N22*'Настройки'!$B$8)</x:f>
      </x:c>
      <x:c r="P22" s="26" t="str">
        <x:f>IF(L22="","",L22+M22)</x:f>
      </x:c>
      <x:c r="Q22" s="26" t="str">
        <x:f>IF(P22="","",P22+O22)</x:f>
      </x:c>
    </x:row>
    <x:row r="23">
      <x:c r="A23" s="18"/>
      <x:c r="B23" t="str">
        <x:f>IF(A23="","",TEXT(A23,"dddd"))</x:f>
      </x:c>
      <x:c r="C23" s="20"/>
      <x:c r="D23" s="20"/>
      <x:c r="E23" s="22"/>
      <x:c r="F23" s="22"/>
      <x:c r="G23" s="24" t="str">
        <x:f>IF(OR(A23="",C23="",D23=""),"",IF(D23&gt;TIME(8,0,0),'Настройки'!$B$9,0))</x:f>
      </x:c>
      <x:c r="H23" s="24" t="str">
        <x:f>IF(OR(A23="",C23="",D23=""),"",IF(D23&gt;TIME(11,0,0),'Настройки'!$B$10,0))</x:f>
      </x:c>
      <x:c r="I23" s="22" t="str">
        <x:f>IF(OR(A23="",C23="",D23=""),"",MAX(((D23-C23)*24)-((G23+H23)/60),0))</x:f>
      </x:c>
      <x:c r="J23" s="22" t="str">
        <x:f>IF(I23="","",MIN(I23,8))</x:f>
      </x:c>
      <x:c r="K23" s="22" t="str">
        <x:f>IF(I23="","",MAX(I23-8,0))</x:f>
      </x:c>
      <x:c r="L23" s="26" t="str">
        <x:f>IF(J23="","",J23*'Настройки'!$B$5)</x:f>
      </x:c>
      <x:c r="M23" s="26" t="str">
        <x:f>IF(K23="","",K23*'Настройки'!$B$6)</x:f>
      </x:c>
      <x:c r="N23" s="22" t="str">
        <x:f>IF(E23="","",MAX(E23-'Настройки'!$B$7,0))</x:f>
      </x:c>
      <x:c r="O23" s="26" t="str">
        <x:f>IF(N23="","",N23*'Настройки'!$B$8)</x:f>
      </x:c>
      <x:c r="P23" s="26" t="str">
        <x:f>IF(L23="","",L23+M23)</x:f>
      </x:c>
      <x:c r="Q23" s="26" t="str">
        <x:f>IF(P23="","",P23+O23)</x:f>
      </x:c>
    </x:row>
    <x:row r="24">
      <x:c r="A24" s="18"/>
      <x:c r="B24" t="str">
        <x:f>IF(A24="","",TEXT(A24,"dddd"))</x:f>
      </x:c>
      <x:c r="C24" s="20"/>
      <x:c r="D24" s="20"/>
      <x:c r="E24" s="22"/>
      <x:c r="F24" s="22"/>
      <x:c r="G24" s="24" t="str">
        <x:f>IF(OR(A24="",C24="",D24=""),"",IF(D24&gt;TIME(8,0,0),'Настройки'!$B$9,0))</x:f>
      </x:c>
      <x:c r="H24" s="24" t="str">
        <x:f>IF(OR(A24="",C24="",D24=""),"",IF(D24&gt;TIME(11,0,0),'Настройки'!$B$10,0))</x:f>
      </x:c>
      <x:c r="I24" s="22" t="str">
        <x:f>IF(OR(A24="",C24="",D24=""),"",MAX(((D24-C24)*24)-((G24+H24)/60),0))</x:f>
      </x:c>
      <x:c r="J24" s="22" t="str">
        <x:f>IF(I24="","",MIN(I24,8))</x:f>
      </x:c>
      <x:c r="K24" s="22" t="str">
        <x:f>IF(I24="","",MAX(I24-8,0))</x:f>
      </x:c>
      <x:c r="L24" s="26" t="str">
        <x:f>IF(J24="","",J24*'Настройки'!$B$5)</x:f>
      </x:c>
      <x:c r="M24" s="26" t="str">
        <x:f>IF(K24="","",K24*'Настройки'!$B$6)</x:f>
      </x:c>
      <x:c r="N24" s="22" t="str">
        <x:f>IF(E24="","",MAX(E24-'Настройки'!$B$7,0))</x:f>
      </x:c>
      <x:c r="O24" s="26" t="str">
        <x:f>IF(N24="","",N24*'Настройки'!$B$8)</x:f>
      </x:c>
      <x:c r="P24" s="26" t="str">
        <x:f>IF(L24="","",L24+M24)</x:f>
      </x:c>
      <x:c r="Q24" s="26" t="str">
        <x:f>IF(P24="","",P24+O24)</x:f>
      </x:c>
    </x:row>
    <x:row r="25">
      <x:c r="A25" s="18"/>
      <x:c r="B25" t="str">
        <x:f>IF(A25="","",TEXT(A25,"dddd"))</x:f>
      </x:c>
      <x:c r="C25" s="20"/>
      <x:c r="D25" s="20"/>
      <x:c r="E25" s="22"/>
      <x:c r="F25" s="22"/>
      <x:c r="G25" s="24" t="str">
        <x:f>IF(OR(A25="",C25="",D25=""),"",IF(D25&gt;TIME(8,0,0),'Настройки'!$B$9,0))</x:f>
      </x:c>
      <x:c r="H25" s="24" t="str">
        <x:f>IF(OR(A25="",C25="",D25=""),"",IF(D25&gt;TIME(11,0,0),'Настройки'!$B$10,0))</x:f>
      </x:c>
      <x:c r="I25" s="22" t="str">
        <x:f>IF(OR(A25="",C25="",D25=""),"",MAX(((D25-C25)*24)-((G25+H25)/60),0))</x:f>
      </x:c>
      <x:c r="J25" s="22" t="str">
        <x:f>IF(I25="","",MIN(I25,8))</x:f>
      </x:c>
      <x:c r="K25" s="22" t="str">
        <x:f>IF(I25="","",MAX(I25-8,0))</x:f>
      </x:c>
      <x:c r="L25" s="26" t="str">
        <x:f>IF(J25="","",J25*'Настройки'!$B$5)</x:f>
      </x:c>
      <x:c r="M25" s="26" t="str">
        <x:f>IF(K25="","",K25*'Настройки'!$B$6)</x:f>
      </x:c>
      <x:c r="N25" s="22" t="str">
        <x:f>IF(E25="","",MAX(E25-'Настройки'!$B$7,0))</x:f>
      </x:c>
      <x:c r="O25" s="26" t="str">
        <x:f>IF(N25="","",N25*'Настройки'!$B$8)</x:f>
      </x:c>
      <x:c r="P25" s="26" t="str">
        <x:f>IF(L25="","",L25+M25)</x:f>
      </x:c>
      <x:c r="Q25" s="26" t="str">
        <x:f>IF(P25="","",P25+O25)</x:f>
      </x:c>
    </x:row>
    <x:row r="26">
      <x:c r="A26" s="18"/>
      <x:c r="B26" t="str">
        <x:f>IF(A26="","",TEXT(A26,"dddd"))</x:f>
      </x:c>
      <x:c r="C26" s="20"/>
      <x:c r="D26" s="20"/>
      <x:c r="E26" s="22"/>
      <x:c r="F26" s="22"/>
      <x:c r="G26" s="24" t="str">
        <x:f>IF(OR(A26="",C26="",D26=""),"",IF(D26&gt;TIME(8,0,0),'Настройки'!$B$9,0))</x:f>
      </x:c>
      <x:c r="H26" s="24" t="str">
        <x:f>IF(OR(A26="",C26="",D26=""),"",IF(D26&gt;TIME(11,0,0),'Настройки'!$B$10,0))</x:f>
      </x:c>
      <x:c r="I26" s="22" t="str">
        <x:f>IF(OR(A26="",C26="",D26=""),"",MAX(((D26-C26)*24)-((G26+H26)/60),0))</x:f>
      </x:c>
      <x:c r="J26" s="22" t="str">
        <x:f>IF(I26="","",MIN(I26,8))</x:f>
      </x:c>
      <x:c r="K26" s="22" t="str">
        <x:f>IF(I26="","",MAX(I26-8,0))</x:f>
      </x:c>
      <x:c r="L26" s="26" t="str">
        <x:f>IF(J26="","",J26*'Настройки'!$B$5)</x:f>
      </x:c>
      <x:c r="M26" s="26" t="str">
        <x:f>IF(K26="","",K26*'Настройки'!$B$6)</x:f>
      </x:c>
      <x:c r="N26" s="22" t="str">
        <x:f>IF(E26="","",MAX(E26-'Настройки'!$B$7,0))</x:f>
      </x:c>
      <x:c r="O26" s="26" t="str">
        <x:f>IF(N26="","",N26*'Настройки'!$B$8)</x:f>
      </x:c>
      <x:c r="P26" s="26" t="str">
        <x:f>IF(L26="","",L26+M26)</x:f>
      </x:c>
      <x:c r="Q26" s="26" t="str">
        <x:f>IF(P26="","",P26+O26)</x:f>
      </x:c>
    </x:row>
    <x:row r="27">
      <x:c r="A27" s="18"/>
      <x:c r="B27" t="str">
        <x:f>IF(A27="","",TEXT(A27,"dddd"))</x:f>
      </x:c>
      <x:c r="C27" s="20"/>
      <x:c r="D27" s="20"/>
      <x:c r="E27" s="22"/>
      <x:c r="F27" s="22"/>
      <x:c r="G27" s="24" t="str">
        <x:f>IF(OR(A27="",C27="",D27=""),"",IF(D27&gt;TIME(8,0,0),'Настройки'!$B$9,0))</x:f>
      </x:c>
      <x:c r="H27" s="24" t="str">
        <x:f>IF(OR(A27="",C27="",D27=""),"",IF(D27&gt;TIME(11,0,0),'Настройки'!$B$10,0))</x:f>
      </x:c>
      <x:c r="I27" s="22" t="str">
        <x:f>IF(OR(A27="",C27="",D27=""),"",MAX(((D27-C27)*24)-((G27+H27)/60),0))</x:f>
      </x:c>
      <x:c r="J27" s="22" t="str">
        <x:f>IF(I27="","",MIN(I27,8))</x:f>
      </x:c>
      <x:c r="K27" s="22" t="str">
        <x:f>IF(I27="","",MAX(I27-8,0))</x:f>
      </x:c>
      <x:c r="L27" s="26" t="str">
        <x:f>IF(J27="","",J27*'Настройки'!$B$5)</x:f>
      </x:c>
      <x:c r="M27" s="26" t="str">
        <x:f>IF(K27="","",K27*'Настройки'!$B$6)</x:f>
      </x:c>
      <x:c r="N27" s="22" t="str">
        <x:f>IF(E27="","",MAX(E27-'Настройки'!$B$7,0))</x:f>
      </x:c>
      <x:c r="O27" s="26" t="str">
        <x:f>IF(N27="","",N27*'Настройки'!$B$8)</x:f>
      </x:c>
      <x:c r="P27" s="26" t="str">
        <x:f>IF(L27="","",L27+M27)</x:f>
      </x:c>
      <x:c r="Q27" s="26" t="str">
        <x:f>IF(P27="","",P27+O27)</x:f>
      </x:c>
    </x:row>
    <x:row r="28">
      <x:c r="A28" s="18"/>
      <x:c r="B28" t="str">
        <x:f>IF(A28="","",TEXT(A28,"dddd"))</x:f>
      </x:c>
      <x:c r="C28" s="20"/>
      <x:c r="D28" s="20"/>
      <x:c r="E28" s="22"/>
      <x:c r="F28" s="22"/>
      <x:c r="G28" s="24" t="str">
        <x:f>IF(OR(A28="",C28="",D28=""),"",IF(D28&gt;TIME(8,0,0),'Настройки'!$B$9,0))</x:f>
      </x:c>
      <x:c r="H28" s="24" t="str">
        <x:f>IF(OR(A28="",C28="",D28=""),"",IF(D28&gt;TIME(11,0,0),'Настройки'!$B$10,0))</x:f>
      </x:c>
      <x:c r="I28" s="22" t="str">
        <x:f>IF(OR(A28="",C28="",D28=""),"",MAX(((D28-C28)*24)-((G28+H28)/60),0))</x:f>
      </x:c>
      <x:c r="J28" s="22" t="str">
        <x:f>IF(I28="","",MIN(I28,8))</x:f>
      </x:c>
      <x:c r="K28" s="22" t="str">
        <x:f>IF(I28="","",MAX(I28-8,0))</x:f>
      </x:c>
      <x:c r="L28" s="26" t="str">
        <x:f>IF(J28="","",J28*'Настройки'!$B$5)</x:f>
      </x:c>
      <x:c r="M28" s="26" t="str">
        <x:f>IF(K28="","",K28*'Настройки'!$B$6)</x:f>
      </x:c>
      <x:c r="N28" s="22" t="str">
        <x:f>IF(E28="","",MAX(E28-'Настройки'!$B$7,0))</x:f>
      </x:c>
      <x:c r="O28" s="26" t="str">
        <x:f>IF(N28="","",N28*'Настройки'!$B$8)</x:f>
      </x:c>
      <x:c r="P28" s="26" t="str">
        <x:f>IF(L28="","",L28+M28)</x:f>
      </x:c>
      <x:c r="Q28" s="26" t="str">
        <x:f>IF(P28="","",P28+O28)</x:f>
      </x:c>
    </x:row>
    <x:row r="29">
      <x:c r="A29" s="18"/>
      <x:c r="B29" t="str">
        <x:f>IF(A29="","",TEXT(A29,"dddd"))</x:f>
      </x:c>
      <x:c r="C29" s="20"/>
      <x:c r="D29" s="20"/>
      <x:c r="E29" s="22"/>
      <x:c r="F29" s="22"/>
      <x:c r="G29" s="24" t="str">
        <x:f>IF(OR(A29="",C29="",D29=""),"",IF(D29&gt;TIME(8,0,0),'Настройки'!$B$9,0))</x:f>
      </x:c>
      <x:c r="H29" s="24" t="str">
        <x:f>IF(OR(A29="",C29="",D29=""),"",IF(D29&gt;TIME(11,0,0),'Настройки'!$B$10,0))</x:f>
      </x:c>
      <x:c r="I29" s="22" t="str">
        <x:f>IF(OR(A29="",C29="",D29=""),"",MAX(((D29-C29)*24)-((G29+H29)/60),0))</x:f>
      </x:c>
      <x:c r="J29" s="22" t="str">
        <x:f>IF(I29="","",MIN(I29,8))</x:f>
      </x:c>
      <x:c r="K29" s="22" t="str">
        <x:f>IF(I29="","",MAX(I29-8,0))</x:f>
      </x:c>
      <x:c r="L29" s="26" t="str">
        <x:f>IF(J29="","",J29*'Настройки'!$B$5)</x:f>
      </x:c>
      <x:c r="M29" s="26" t="str">
        <x:f>IF(K29="","",K29*'Настройки'!$B$6)</x:f>
      </x:c>
      <x:c r="N29" s="22" t="str">
        <x:f>IF(E29="","",MAX(E29-'Настройки'!$B$7,0))</x:f>
      </x:c>
      <x:c r="O29" s="26" t="str">
        <x:f>IF(N29="","",N29*'Настройки'!$B$8)</x:f>
      </x:c>
      <x:c r="P29" s="26" t="str">
        <x:f>IF(L29="","",L29+M29)</x:f>
      </x:c>
      <x:c r="Q29" s="26" t="str">
        <x:f>IF(P29="","",P29+O29)</x:f>
      </x:c>
    </x:row>
    <x:row r="30">
      <x:c r="A30" s="18"/>
      <x:c r="B30" t="str">
        <x:f>IF(A30="","",TEXT(A30,"dddd"))</x:f>
      </x:c>
      <x:c r="C30" s="20"/>
      <x:c r="D30" s="20"/>
      <x:c r="E30" s="22"/>
      <x:c r="F30" s="22"/>
      <x:c r="G30" s="24" t="str">
        <x:f>IF(OR(A30="",C30="",D30=""),"",IF(D30&gt;TIME(8,0,0),'Настройки'!$B$9,0))</x:f>
      </x:c>
      <x:c r="H30" s="24" t="str">
        <x:f>IF(OR(A30="",C30="",D30=""),"",IF(D30&gt;TIME(11,0,0),'Настройки'!$B$10,0))</x:f>
      </x:c>
      <x:c r="I30" s="22" t="str">
        <x:f>IF(OR(A30="",C30="",D30=""),"",MAX(((D30-C30)*24)-((G30+H30)/60),0))</x:f>
      </x:c>
      <x:c r="J30" s="22" t="str">
        <x:f>IF(I30="","",MIN(I30,8))</x:f>
      </x:c>
      <x:c r="K30" s="22" t="str">
        <x:f>IF(I30="","",MAX(I30-8,0))</x:f>
      </x:c>
      <x:c r="L30" s="26" t="str">
        <x:f>IF(J30="","",J30*'Настройки'!$B$5)</x:f>
      </x:c>
      <x:c r="M30" s="26" t="str">
        <x:f>IF(K30="","",K30*'Настройки'!$B$6)</x:f>
      </x:c>
      <x:c r="N30" s="22" t="str">
        <x:f>IF(E30="","",MAX(E30-'Настройки'!$B$7,0))</x:f>
      </x:c>
      <x:c r="O30" s="26" t="str">
        <x:f>IF(N30="","",N30*'Настройки'!$B$8)</x:f>
      </x:c>
      <x:c r="P30" s="26" t="str">
        <x:f>IF(L30="","",L30+M30)</x:f>
      </x:c>
      <x:c r="Q30" s="26" t="str">
        <x:f>IF(P30="","",P30+O30)</x:f>
      </x:c>
    </x:row>
    <x:row r="31">
      <x:c r="A31" s="18"/>
      <x:c r="B31" t="str">
        <x:f>IF(A31="","",TEXT(A31,"dddd"))</x:f>
      </x:c>
      <x:c r="C31" s="20"/>
      <x:c r="D31" s="20"/>
      <x:c r="E31" s="22"/>
      <x:c r="F31" s="22"/>
      <x:c r="G31" s="24" t="str">
        <x:f>IF(OR(A31="",C31="",D31=""),"",IF(D31&gt;TIME(8,0,0),'Настройки'!$B$9,0))</x:f>
      </x:c>
      <x:c r="H31" s="24" t="str">
        <x:f>IF(OR(A31="",C31="",D31=""),"",IF(D31&gt;TIME(11,0,0),'Настройки'!$B$10,0))</x:f>
      </x:c>
      <x:c r="I31" s="22" t="str">
        <x:f>IF(OR(A31="",C31="",D31=""),"",MAX(((D31-C31)*24)-((G31+H31)/60),0))</x:f>
      </x:c>
      <x:c r="J31" s="22" t="str">
        <x:f>IF(I31="","",MIN(I31,8))</x:f>
      </x:c>
      <x:c r="K31" s="22" t="str">
        <x:f>IF(I31="","",MAX(I31-8,0))</x:f>
      </x:c>
      <x:c r="L31" s="26" t="str">
        <x:f>IF(J31="","",J31*'Настройки'!$B$5)</x:f>
      </x:c>
      <x:c r="M31" s="26" t="str">
        <x:f>IF(K31="","",K31*'Настройки'!$B$6)</x:f>
      </x:c>
      <x:c r="N31" s="22" t="str">
        <x:f>IF(E31="","",MAX(E31-'Настройки'!$B$7,0))</x:f>
      </x:c>
      <x:c r="O31" s="26" t="str">
        <x:f>IF(N31="","",N31*'Настройки'!$B$8)</x:f>
      </x:c>
      <x:c r="P31" s="26" t="str">
        <x:f>IF(L31="","",L31+M31)</x:f>
      </x:c>
      <x:c r="Q31" s="26" t="str">
        <x:f>IF(P31="","",P31+O31)</x:f>
      </x:c>
    </x:row>
    <x:row r="32">
      <x:c r="A32" s="18"/>
      <x:c r="B32" t="str">
        <x:f>IF(A32="","",TEXT(A32,"dddd"))</x:f>
      </x:c>
      <x:c r="C32" s="20"/>
      <x:c r="D32" s="20"/>
      <x:c r="E32" s="22"/>
      <x:c r="F32" s="22"/>
      <x:c r="G32" s="24" t="str">
        <x:f>IF(OR(A32="",C32="",D32=""),"",IF(D32&gt;TIME(8,0,0),'Настройки'!$B$9,0))</x:f>
      </x:c>
      <x:c r="H32" s="24" t="str">
        <x:f>IF(OR(A32="",C32="",D32=""),"",IF(D32&gt;TIME(11,0,0),'Настройки'!$B$10,0))</x:f>
      </x:c>
      <x:c r="I32" s="22" t="str">
        <x:f>IF(OR(A32="",C32="",D32=""),"",MAX(((D32-C32)*24)-((G32+H32)/60),0))</x:f>
      </x:c>
      <x:c r="J32" s="22" t="str">
        <x:f>IF(I32="","",MIN(I32,8))</x:f>
      </x:c>
      <x:c r="K32" s="22" t="str">
        <x:f>IF(I32="","",MAX(I32-8,0))</x:f>
      </x:c>
      <x:c r="L32" s="26" t="str">
        <x:f>IF(J32="","",J32*'Настройки'!$B$5)</x:f>
      </x:c>
      <x:c r="M32" s="26" t="str">
        <x:f>IF(K32="","",K32*'Настройки'!$B$6)</x:f>
      </x:c>
      <x:c r="N32" s="22" t="str">
        <x:f>IF(E32="","",MAX(E32-'Настройки'!$B$7,0))</x:f>
      </x:c>
      <x:c r="O32" s="26" t="str">
        <x:f>IF(N32="","",N32*'Настройки'!$B$8)</x:f>
      </x:c>
      <x:c r="P32" s="26" t="str">
        <x:f>IF(L32="","",L32+M32)</x:f>
      </x:c>
      <x:c r="Q32" s="26" t="str">
        <x:f>IF(P32="","",P32+O32)</x:f>
      </x:c>
    </x:row>
    <x:row r="33">
      <x:c r="A33" s="18"/>
      <x:c r="B33" t="str">
        <x:f>IF(A33="","",TEXT(A33,"dddd"))</x:f>
      </x:c>
      <x:c r="C33" s="20"/>
      <x:c r="D33" s="20"/>
      <x:c r="E33" s="22"/>
      <x:c r="F33" s="22"/>
      <x:c r="G33" s="24" t="str">
        <x:f>IF(OR(A33="",C33="",D33=""),"",IF(D33&gt;TIME(8,0,0),'Настройки'!$B$9,0))</x:f>
      </x:c>
      <x:c r="H33" s="24" t="str">
        <x:f>IF(OR(A33="",C33="",D33=""),"",IF(D33&gt;TIME(11,0,0),'Настройки'!$B$10,0))</x:f>
      </x:c>
      <x:c r="I33" s="22" t="str">
        <x:f>IF(OR(A33="",C33="",D33=""),"",MAX(((D33-C33)*24)-((G33+H33)/60),0))</x:f>
      </x:c>
      <x:c r="J33" s="22" t="str">
        <x:f>IF(I33="","",MIN(I33,8))</x:f>
      </x:c>
      <x:c r="K33" s="22" t="str">
        <x:f>IF(I33="","",MAX(I33-8,0))</x:f>
      </x:c>
      <x:c r="L33" s="26" t="str">
        <x:f>IF(J33="","",J33*'Настройки'!$B$5)</x:f>
      </x:c>
      <x:c r="M33" s="26" t="str">
        <x:f>IF(K33="","",K33*'Настройки'!$B$6)</x:f>
      </x:c>
      <x:c r="N33" s="22" t="str">
        <x:f>IF(E33="","",MAX(E33-'Настройки'!$B$7,0))</x:f>
      </x:c>
      <x:c r="O33" s="26" t="str">
        <x:f>IF(N33="","",N33*'Настройки'!$B$8)</x:f>
      </x:c>
      <x:c r="P33" s="26" t="str">
        <x:f>IF(L33="","",L33+M33)</x:f>
      </x:c>
      <x:c r="Q33" s="26" t="str">
        <x:f>IF(P33="","",P33+O33)</x:f>
      </x:c>
    </x:row>
    <x:row r="34">
      <x:c r="A34" s="18"/>
      <x:c r="B34" t="str">
        <x:f>IF(A34="","",TEXT(A34,"dddd"))</x:f>
      </x:c>
      <x:c r="C34" s="20"/>
      <x:c r="D34" s="20"/>
      <x:c r="E34" s="22"/>
      <x:c r="F34" s="22"/>
      <x:c r="G34" s="24" t="str">
        <x:f>IF(OR(A34="",C34="",D34=""),"",IF(D34&gt;TIME(8,0,0),'Настройки'!$B$9,0))</x:f>
      </x:c>
      <x:c r="H34" s="24" t="str">
        <x:f>IF(OR(A34="",C34="",D34=""),"",IF(D34&gt;TIME(11,0,0),'Настройки'!$B$10,0))</x:f>
      </x:c>
      <x:c r="I34" s="22" t="str">
        <x:f>IF(OR(A34="",C34="",D34=""),"",MAX(((D34-C34)*24)-((G34+H34)/60),0))</x:f>
      </x:c>
      <x:c r="J34" s="22" t="str">
        <x:f>IF(I34="","",MIN(I34,8))</x:f>
      </x:c>
      <x:c r="K34" s="22" t="str">
        <x:f>IF(I34="","",MAX(I34-8,0))</x:f>
      </x:c>
      <x:c r="L34" s="26" t="str">
        <x:f>IF(J34="","",J34*'Настройки'!$B$5)</x:f>
      </x:c>
      <x:c r="M34" s="26" t="str">
        <x:f>IF(K34="","",K34*'Настройки'!$B$6)</x:f>
      </x:c>
      <x:c r="N34" s="22" t="str">
        <x:f>IF(E34="","",MAX(E34-'Настройки'!$B$7,0))</x:f>
      </x:c>
      <x:c r="O34" s="26" t="str">
        <x:f>IF(N34="","",N34*'Настройки'!$B$8)</x:f>
      </x:c>
      <x:c r="P34" s="26" t="str">
        <x:f>IF(L34="","",L34+M34)</x:f>
      </x:c>
      <x:c r="Q34" s="26" t="str">
        <x:f>IF(P34="","",P34+O34)</x:f>
      </x:c>
    </x:row>
    <x:row r="35">
      <x:c r="A35" s="18"/>
      <x:c r="B35" t="str">
        <x:f>IF(A35="","",TEXT(A35,"dddd"))</x:f>
      </x:c>
      <x:c r="C35" s="20"/>
      <x:c r="D35" s="20"/>
      <x:c r="E35" s="22"/>
      <x:c r="F35" s="22"/>
      <x:c r="G35" s="24" t="str">
        <x:f>IF(OR(A35="",C35="",D35=""),"",IF(D35&gt;TIME(8,0,0),'Настройки'!$B$9,0))</x:f>
      </x:c>
      <x:c r="H35" s="24" t="str">
        <x:f>IF(OR(A35="",C35="",D35=""),"",IF(D35&gt;TIME(11,0,0),'Настройки'!$B$10,0))</x:f>
      </x:c>
      <x:c r="I35" s="22" t="str">
        <x:f>IF(OR(A35="",C35="",D35=""),"",MAX(((D35-C35)*24)-((G35+H35)/60),0))</x:f>
      </x:c>
      <x:c r="J35" s="22" t="str">
        <x:f>IF(I35="","",MIN(I35,8))</x:f>
      </x:c>
      <x:c r="K35" s="22" t="str">
        <x:f>IF(I35="","",MAX(I35-8,0))</x:f>
      </x:c>
      <x:c r="L35" s="26" t="str">
        <x:f>IF(J35="","",J35*'Настройки'!$B$5)</x:f>
      </x:c>
      <x:c r="M35" s="26" t="str">
        <x:f>IF(K35="","",K35*'Настройки'!$B$6)</x:f>
      </x:c>
      <x:c r="N35" s="22" t="str">
        <x:f>IF(E35="","",MAX(E35-'Настройки'!$B$7,0))</x:f>
      </x:c>
      <x:c r="O35" s="26" t="str">
        <x:f>IF(N35="","",N35*'Настройки'!$B$8)</x:f>
      </x:c>
      <x:c r="P35" s="26" t="str">
        <x:f>IF(L35="","",L35+M35)</x:f>
      </x:c>
      <x:c r="Q35" s="26" t="str">
        <x:f>IF(P35="","",P35+O35)</x:f>
      </x:c>
    </x:row>
    <x:row r="36">
      <x:c r="A36" s="18"/>
      <x:c r="B36" t="str">
        <x:f>IF(A36="","",TEXT(A36,"dddd"))</x:f>
      </x:c>
      <x:c r="C36" s="20"/>
      <x:c r="D36" s="20"/>
      <x:c r="E36" s="22"/>
      <x:c r="F36" s="22"/>
      <x:c r="G36" s="24" t="str">
        <x:f>IF(OR(A36="",C36="",D36=""),"",IF(D36&gt;TIME(8,0,0),'Настройки'!$B$9,0))</x:f>
      </x:c>
      <x:c r="H36" s="24" t="str">
        <x:f>IF(OR(A36="",C36="",D36=""),"",IF(D36&gt;TIME(11,0,0),'Настройки'!$B$10,0))</x:f>
      </x:c>
      <x:c r="I36" s="22" t="str">
        <x:f>IF(OR(A36="",C36="",D36=""),"",MAX(((D36-C36)*24)-((G36+H36)/60),0))</x:f>
      </x:c>
      <x:c r="J36" s="22" t="str">
        <x:f>IF(I36="","",MIN(I36,8))</x:f>
      </x:c>
      <x:c r="K36" s="22" t="str">
        <x:f>IF(I36="","",MAX(I36-8,0))</x:f>
      </x:c>
      <x:c r="L36" s="26" t="str">
        <x:f>IF(J36="","",J36*'Настройки'!$B$5)</x:f>
      </x:c>
      <x:c r="M36" s="26" t="str">
        <x:f>IF(K36="","",K36*'Настройки'!$B$6)</x:f>
      </x:c>
      <x:c r="N36" s="22" t="str">
        <x:f>IF(E36="","",MAX(E36-'Настройки'!$B$7,0))</x:f>
      </x:c>
      <x:c r="O36" s="26" t="str">
        <x:f>IF(N36="","",N36*'Настройки'!$B$8)</x:f>
      </x:c>
      <x:c r="P36" s="26" t="str">
        <x:f>IF(L36="","",L36+M36)</x:f>
      </x:c>
      <x:c r="Q36" s="26" t="str">
        <x:f>IF(P36="","",P36+O36)</x:f>
      </x:c>
    </x:row>
    <x:row r="37">
      <x:c r="A37" s="18"/>
      <x:c r="B37" t="str">
        <x:f>IF(A37="","",TEXT(A37,"dddd"))</x:f>
      </x:c>
      <x:c r="C37" s="20"/>
      <x:c r="D37" s="20"/>
      <x:c r="E37" s="22"/>
      <x:c r="F37" s="22"/>
      <x:c r="G37" s="24" t="str">
        <x:f>IF(OR(A37="",C37="",D37=""),"",IF(D37&gt;TIME(8,0,0),'Настройки'!$B$9,0))</x:f>
      </x:c>
      <x:c r="H37" s="24" t="str">
        <x:f>IF(OR(A37="",C37="",D37=""),"",IF(D37&gt;TIME(11,0,0),'Настройки'!$B$10,0))</x:f>
      </x:c>
      <x:c r="I37" s="22" t="str">
        <x:f>IF(OR(A37="",C37="",D37=""),"",MAX(((D37-C37)*24)-((G37+H37)/60),0))</x:f>
      </x:c>
      <x:c r="J37" s="22" t="str">
        <x:f>IF(I37="","",MIN(I37,8))</x:f>
      </x:c>
      <x:c r="K37" s="22" t="str">
        <x:f>IF(I37="","",MAX(I37-8,0))</x:f>
      </x:c>
      <x:c r="L37" s="26" t="str">
        <x:f>IF(J37="","",J37*'Настройки'!$B$5)</x:f>
      </x:c>
      <x:c r="M37" s="26" t="str">
        <x:f>IF(K37="","",K37*'Настройки'!$B$6)</x:f>
      </x:c>
      <x:c r="N37" s="22" t="str">
        <x:f>IF(E37="","",MAX(E37-'Настройки'!$B$7,0))</x:f>
      </x:c>
      <x:c r="O37" s="26" t="str">
        <x:f>IF(N37="","",N37*'Настройки'!$B$8)</x:f>
      </x:c>
      <x:c r="P37" s="26" t="str">
        <x:f>IF(L37="","",L37+M37)</x:f>
      </x:c>
      <x:c r="Q37" s="26" t="str">
        <x:f>IF(P37="","",P37+O37)</x:f>
      </x:c>
    </x:row>
    <x:row r="38">
      <x:c r="A38" s="18"/>
      <x:c r="B38" t="str">
        <x:f>IF(A38="","",TEXT(A38,"dddd"))</x:f>
      </x:c>
      <x:c r="C38" s="20"/>
      <x:c r="D38" s="20"/>
      <x:c r="E38" s="22"/>
      <x:c r="F38" s="22"/>
      <x:c r="G38" s="24" t="str">
        <x:f>IF(OR(A38="",C38="",D38=""),"",IF(D38&gt;TIME(8,0,0),'Настройки'!$B$9,0))</x:f>
      </x:c>
      <x:c r="H38" s="24" t="str">
        <x:f>IF(OR(A38="",C38="",D38=""),"",IF(D38&gt;TIME(11,0,0),'Настройки'!$B$10,0))</x:f>
      </x:c>
      <x:c r="I38" s="22" t="str">
        <x:f>IF(OR(A38="",C38="",D38=""),"",MAX(((D38-C38)*24)-((G38+H38)/60),0))</x:f>
      </x:c>
      <x:c r="J38" s="22" t="str">
        <x:f>IF(I38="","",MIN(I38,8))</x:f>
      </x:c>
      <x:c r="K38" s="22" t="str">
        <x:f>IF(I38="","",MAX(I38-8,0))</x:f>
      </x:c>
      <x:c r="L38" s="26" t="str">
        <x:f>IF(J38="","",J38*'Настройки'!$B$5)</x:f>
      </x:c>
      <x:c r="M38" s="26" t="str">
        <x:f>IF(K38="","",K38*'Настройки'!$B$6)</x:f>
      </x:c>
      <x:c r="N38" s="22" t="str">
        <x:f>IF(E38="","",MAX(E38-'Настройки'!$B$7,0))</x:f>
      </x:c>
      <x:c r="O38" s="26" t="str">
        <x:f>IF(N38="","",N38*'Настройки'!$B$8)</x:f>
      </x:c>
      <x:c r="P38" s="26" t="str">
        <x:f>IF(L38="","",L38+M38)</x:f>
      </x:c>
      <x:c r="Q38" s="26" t="str">
        <x:f>IF(P38="","",P38+O38)</x:f>
      </x:c>
    </x:row>
    <x:row r="39">
      <x:c r="A39" s="18"/>
      <x:c r="B39" t="str">
        <x:f>IF(A39="","",TEXT(A39,"dddd"))</x:f>
      </x:c>
      <x:c r="C39" s="20"/>
      <x:c r="D39" s="20"/>
      <x:c r="E39" s="22"/>
      <x:c r="F39" s="22"/>
      <x:c r="G39" s="24" t="str">
        <x:f>IF(OR(A39="",C39="",D39=""),"",IF(D39&gt;TIME(8,0,0),'Настройки'!$B$9,0))</x:f>
      </x:c>
      <x:c r="H39" s="24" t="str">
        <x:f>IF(OR(A39="",C39="",D39=""),"",IF(D39&gt;TIME(11,0,0),'Настройки'!$B$10,0))</x:f>
      </x:c>
      <x:c r="I39" s="22" t="str">
        <x:f>IF(OR(A39="",C39="",D39=""),"",MAX(((D39-C39)*24)-((G39+H39)/60),0))</x:f>
      </x:c>
      <x:c r="J39" s="22" t="str">
        <x:f>IF(I39="","",MIN(I39,8))</x:f>
      </x:c>
      <x:c r="K39" s="22" t="str">
        <x:f>IF(I39="","",MAX(I39-8,0))</x:f>
      </x:c>
      <x:c r="L39" s="26" t="str">
        <x:f>IF(J39="","",J39*'Настройки'!$B$5)</x:f>
      </x:c>
      <x:c r="M39" s="26" t="str">
        <x:f>IF(K39="","",K39*'Настройки'!$B$6)</x:f>
      </x:c>
      <x:c r="N39" s="22" t="str">
        <x:f>IF(E39="","",MAX(E39-'Настройки'!$B$7,0))</x:f>
      </x:c>
      <x:c r="O39" s="26" t="str">
        <x:f>IF(N39="","",N39*'Настройки'!$B$8)</x:f>
      </x:c>
      <x:c r="P39" s="26" t="str">
        <x:f>IF(L39="","",L39+M39)</x:f>
      </x:c>
      <x:c r="Q39" s="26" t="str">
        <x:f>IF(P39="","",P39+O39)</x:f>
      </x:c>
    </x:row>
    <x:row r="40">
      <x:c r="A40" s="18"/>
      <x:c r="B40" t="str">
        <x:f>IF(A40="","",TEXT(A40,"dddd"))</x:f>
      </x:c>
      <x:c r="C40" s="20"/>
      <x:c r="D40" s="20"/>
      <x:c r="E40" s="22"/>
      <x:c r="F40" s="22"/>
      <x:c r="G40" s="24" t="str">
        <x:f>IF(OR(A40="",C40="",D40=""),"",IF(D40&gt;TIME(8,0,0),'Настройки'!$B$9,0))</x:f>
      </x:c>
      <x:c r="H40" s="24" t="str">
        <x:f>IF(OR(A40="",C40="",D40=""),"",IF(D40&gt;TIME(11,0,0),'Настройки'!$B$10,0))</x:f>
      </x:c>
      <x:c r="I40" s="22" t="str">
        <x:f>IF(OR(A40="",C40="",D40=""),"",MAX(((D40-C40)*24)-((G40+H40)/60),0))</x:f>
      </x:c>
      <x:c r="J40" s="22" t="str">
        <x:f>IF(I40="","",MIN(I40,8))</x:f>
      </x:c>
      <x:c r="K40" s="22" t="str">
        <x:f>IF(I40="","",MAX(I40-8,0))</x:f>
      </x:c>
      <x:c r="L40" s="26" t="str">
        <x:f>IF(J40="","",J40*'Настройки'!$B$5)</x:f>
      </x:c>
      <x:c r="M40" s="26" t="str">
        <x:f>IF(K40="","",K40*'Настройки'!$B$6)</x:f>
      </x:c>
      <x:c r="N40" s="22" t="str">
        <x:f>IF(E40="","",MAX(E40-'Настройки'!$B$7,0))</x:f>
      </x:c>
      <x:c r="O40" s="26" t="str">
        <x:f>IF(N40="","",N40*'Настройки'!$B$8)</x:f>
      </x:c>
      <x:c r="P40" s="26" t="str">
        <x:f>IF(L40="","",L40+M40)</x:f>
      </x:c>
      <x:c r="Q40" s="26" t="str">
        <x:f>IF(P40="","",P40+O40)</x:f>
      </x:c>
    </x:row>
    <x:row r="41">
      <x:c r="A41" s="18"/>
      <x:c r="B41" t="str">
        <x:f>IF(A41="","",TEXT(A41,"dddd"))</x:f>
      </x:c>
      <x:c r="C41" s="20"/>
      <x:c r="D41" s="20"/>
      <x:c r="E41" s="22"/>
      <x:c r="F41" s="22"/>
      <x:c r="G41" s="24" t="str">
        <x:f>IF(OR(A41="",C41="",D41=""),"",IF(D41&gt;TIME(8,0,0),'Настройки'!$B$9,0))</x:f>
      </x:c>
      <x:c r="H41" s="24" t="str">
        <x:f>IF(OR(A41="",C41="",D41=""),"",IF(D41&gt;TIME(11,0,0),'Настройки'!$B$10,0))</x:f>
      </x:c>
      <x:c r="I41" s="22" t="str">
        <x:f>IF(OR(A41="",C41="",D41=""),"",MAX(((D41-C41)*24)-((G41+H41)/60),0))</x:f>
      </x:c>
      <x:c r="J41" s="22" t="str">
        <x:f>IF(I41="","",MIN(I41,8))</x:f>
      </x:c>
      <x:c r="K41" s="22" t="str">
        <x:f>IF(I41="","",MAX(I41-8,0))</x:f>
      </x:c>
      <x:c r="L41" s="26" t="str">
        <x:f>IF(J41="","",J41*'Настройки'!$B$5)</x:f>
      </x:c>
      <x:c r="M41" s="26" t="str">
        <x:f>IF(K41="","",K41*'Настройки'!$B$6)</x:f>
      </x:c>
      <x:c r="N41" s="22" t="str">
        <x:f>IF(E41="","",MAX(E41-'Настройки'!$B$7,0))</x:f>
      </x:c>
      <x:c r="O41" s="26" t="str">
        <x:f>IF(N41="","",N41*'Настройки'!$B$8)</x:f>
      </x:c>
      <x:c r="P41" s="26" t="str">
        <x:f>IF(L41="","",L41+M41)</x:f>
      </x:c>
      <x:c r="Q41" s="26" t="str">
        <x:f>IF(P41="","",P41+O41)</x:f>
      </x:c>
    </x:row>
    <x:row r="42">
      <x:c r="A42" s="18"/>
      <x:c r="B42" t="str">
        <x:f>IF(A42="","",TEXT(A42,"dddd"))</x:f>
      </x:c>
      <x:c r="C42" s="20"/>
      <x:c r="D42" s="20"/>
      <x:c r="E42" s="22"/>
      <x:c r="F42" s="22"/>
      <x:c r="G42" s="24" t="str">
        <x:f>IF(OR(A42="",C42="",D42=""),"",IF(D42&gt;TIME(8,0,0),'Настройки'!$B$9,0))</x:f>
      </x:c>
      <x:c r="H42" s="24" t="str">
        <x:f>IF(OR(A42="",C42="",D42=""),"",IF(D42&gt;TIME(11,0,0),'Настройки'!$B$10,0))</x:f>
      </x:c>
      <x:c r="I42" s="22" t="str">
        <x:f>IF(OR(A42="",C42="",D42=""),"",MAX(((D42-C42)*24)-((G42+H42)/60),0))</x:f>
      </x:c>
      <x:c r="J42" s="22" t="str">
        <x:f>IF(I42="","",MIN(I42,8))</x:f>
      </x:c>
      <x:c r="K42" s="22" t="str">
        <x:f>IF(I42="","",MAX(I42-8,0))</x:f>
      </x:c>
      <x:c r="L42" s="26" t="str">
        <x:f>IF(J42="","",J42*'Настройки'!$B$5)</x:f>
      </x:c>
      <x:c r="M42" s="26" t="str">
        <x:f>IF(K42="","",K42*'Настройки'!$B$6)</x:f>
      </x:c>
      <x:c r="N42" s="22" t="str">
        <x:f>IF(E42="","",MAX(E42-'Настройки'!$B$7,0))</x:f>
      </x:c>
      <x:c r="O42" s="26" t="str">
        <x:f>IF(N42="","",N42*'Настройки'!$B$8)</x:f>
      </x:c>
      <x:c r="P42" s="26" t="str">
        <x:f>IF(L42="","",L42+M42)</x:f>
      </x:c>
      <x:c r="Q42" s="26" t="str">
        <x:f>IF(P42="","",P42+O42)</x:f>
      </x:c>
    </x:row>
    <x:row r="43">
      <x:c r="A43" s="18"/>
      <x:c r="B43" t="str">
        <x:f>IF(A43="","",TEXT(A43,"dddd"))</x:f>
      </x:c>
      <x:c r="C43" s="20"/>
      <x:c r="D43" s="20"/>
      <x:c r="E43" s="22"/>
      <x:c r="F43" s="22"/>
      <x:c r="G43" s="24" t="str">
        <x:f>IF(OR(A43="",C43="",D43=""),"",IF(D43&gt;TIME(8,0,0),'Настройки'!$B$9,0))</x:f>
      </x:c>
      <x:c r="H43" s="24" t="str">
        <x:f>IF(OR(A43="",C43="",D43=""),"",IF(D43&gt;TIME(11,0,0),'Настройки'!$B$10,0))</x:f>
      </x:c>
      <x:c r="I43" s="22" t="str">
        <x:f>IF(OR(A43="",C43="",D43=""),"",MAX(((D43-C43)*24)-((G43+H43)/60),0))</x:f>
      </x:c>
      <x:c r="J43" s="22" t="str">
        <x:f>IF(I43="","",MIN(I43,8))</x:f>
      </x:c>
      <x:c r="K43" s="22" t="str">
        <x:f>IF(I43="","",MAX(I43-8,0))</x:f>
      </x:c>
      <x:c r="L43" s="26" t="str">
        <x:f>IF(J43="","",J43*'Настройки'!$B$5)</x:f>
      </x:c>
      <x:c r="M43" s="26" t="str">
        <x:f>IF(K43="","",K43*'Настройки'!$B$6)</x:f>
      </x:c>
      <x:c r="N43" s="22" t="str">
        <x:f>IF(E43="","",MAX(E43-'Настройки'!$B$7,0))</x:f>
      </x:c>
      <x:c r="O43" s="26" t="str">
        <x:f>IF(N43="","",N43*'Настройки'!$B$8)</x:f>
      </x:c>
      <x:c r="P43" s="26" t="str">
        <x:f>IF(L43="","",L43+M43)</x:f>
      </x:c>
      <x:c r="Q43" s="26" t="str">
        <x:f>IF(P43="","",P43+O43)</x:f>
      </x:c>
    </x:row>
    <x:row r="44">
      <x:c r="A44" s="18"/>
      <x:c r="B44" t="str">
        <x:f>IF(A44="","",TEXT(A44,"dddd"))</x:f>
      </x:c>
      <x:c r="C44" s="20"/>
      <x:c r="D44" s="20"/>
      <x:c r="E44" s="22"/>
      <x:c r="F44" s="22"/>
      <x:c r="G44" s="24" t="str">
        <x:f>IF(OR(A44="",C44="",D44=""),"",IF(D44&gt;TIME(8,0,0),'Настройки'!$B$9,0))</x:f>
      </x:c>
      <x:c r="H44" s="24" t="str">
        <x:f>IF(OR(A44="",C44="",D44=""),"",IF(D44&gt;TIME(11,0,0),'Настройки'!$B$10,0))</x:f>
      </x:c>
      <x:c r="I44" s="22" t="str">
        <x:f>IF(OR(A44="",C44="",D44=""),"",MAX(((D44-C44)*24)-((G44+H44)/60),0))</x:f>
      </x:c>
      <x:c r="J44" s="22" t="str">
        <x:f>IF(I44="","",MIN(I44,8))</x:f>
      </x:c>
      <x:c r="K44" s="22" t="str">
        <x:f>IF(I44="","",MAX(I44-8,0))</x:f>
      </x:c>
      <x:c r="L44" s="26" t="str">
        <x:f>IF(J44="","",J44*'Настройки'!$B$5)</x:f>
      </x:c>
      <x:c r="M44" s="26" t="str">
        <x:f>IF(K44="","",K44*'Настройки'!$B$6)</x:f>
      </x:c>
      <x:c r="N44" s="22" t="str">
        <x:f>IF(E44="","",MAX(E44-'Настройки'!$B$7,0))</x:f>
      </x:c>
      <x:c r="O44" s="26" t="str">
        <x:f>IF(N44="","",N44*'Настройки'!$B$8)</x:f>
      </x:c>
      <x:c r="P44" s="26" t="str">
        <x:f>IF(L44="","",L44+M44)</x:f>
      </x:c>
      <x:c r="Q44" s="26" t="str">
        <x:f>IF(P44="","",P44+O44)</x:f>
      </x:c>
    </x:row>
    <x:row r="45">
      <x:c r="A45" s="18"/>
      <x:c r="B45" t="str">
        <x:f>IF(A45="","",TEXT(A45,"dddd"))</x:f>
      </x:c>
      <x:c r="C45" s="20"/>
      <x:c r="D45" s="20"/>
      <x:c r="E45" s="22"/>
      <x:c r="F45" s="22"/>
      <x:c r="G45" s="24" t="str">
        <x:f>IF(OR(A45="",C45="",D45=""),"",IF(D45&gt;TIME(8,0,0),'Настройки'!$B$9,0))</x:f>
      </x:c>
      <x:c r="H45" s="24" t="str">
        <x:f>IF(OR(A45="",C45="",D45=""),"",IF(D45&gt;TIME(11,0,0),'Настройки'!$B$10,0))</x:f>
      </x:c>
      <x:c r="I45" s="22" t="str">
        <x:f>IF(OR(A45="",C45="",D45=""),"",MAX(((D45-C45)*24)-((G45+H45)/60),0))</x:f>
      </x:c>
      <x:c r="J45" s="22" t="str">
        <x:f>IF(I45="","",MIN(I45,8))</x:f>
      </x:c>
      <x:c r="K45" s="22" t="str">
        <x:f>IF(I45="","",MAX(I45-8,0))</x:f>
      </x:c>
      <x:c r="L45" s="26" t="str">
        <x:f>IF(J45="","",J45*'Настройки'!$B$5)</x:f>
      </x:c>
      <x:c r="M45" s="26" t="str">
        <x:f>IF(K45="","",K45*'Настройки'!$B$6)</x:f>
      </x:c>
      <x:c r="N45" s="22" t="str">
        <x:f>IF(E45="","",MAX(E45-'Настройки'!$B$7,0))</x:f>
      </x:c>
      <x:c r="O45" s="26" t="str">
        <x:f>IF(N45="","",N45*'Настройки'!$B$8)</x:f>
      </x:c>
      <x:c r="P45" s="26" t="str">
        <x:f>IF(L45="","",L45+M45)</x:f>
      </x:c>
      <x:c r="Q45" s="26" t="str">
        <x:f>IF(P45="","",P45+O45)</x:f>
      </x:c>
    </x:row>
    <x:row r="46">
      <x:c r="A46" s="18"/>
      <x:c r="B46" t="str">
        <x:f>IF(A46="","",TEXT(A46,"dddd"))</x:f>
      </x:c>
      <x:c r="C46" s="20"/>
      <x:c r="D46" s="20"/>
      <x:c r="E46" s="22"/>
      <x:c r="F46" s="22"/>
      <x:c r="G46" s="24" t="str">
        <x:f>IF(OR(A46="",C46="",D46=""),"",IF(D46&gt;TIME(8,0,0),'Настройки'!$B$9,0))</x:f>
      </x:c>
      <x:c r="H46" s="24" t="str">
        <x:f>IF(OR(A46="",C46="",D46=""),"",IF(D46&gt;TIME(11,0,0),'Настройки'!$B$10,0))</x:f>
      </x:c>
      <x:c r="I46" s="22" t="str">
        <x:f>IF(OR(A46="",C46="",D46=""),"",MAX(((D46-C46)*24)-((G46+H46)/60),0))</x:f>
      </x:c>
      <x:c r="J46" s="22" t="str">
        <x:f>IF(I46="","",MIN(I46,8))</x:f>
      </x:c>
      <x:c r="K46" s="22" t="str">
        <x:f>IF(I46="","",MAX(I46-8,0))</x:f>
      </x:c>
      <x:c r="L46" s="26" t="str">
        <x:f>IF(J46="","",J46*'Настройки'!$B$5)</x:f>
      </x:c>
      <x:c r="M46" s="26" t="str">
        <x:f>IF(K46="","",K46*'Настройки'!$B$6)</x:f>
      </x:c>
      <x:c r="N46" s="22" t="str">
        <x:f>IF(E46="","",MAX(E46-'Настройки'!$B$7,0))</x:f>
      </x:c>
      <x:c r="O46" s="26" t="str">
        <x:f>IF(N46="","",N46*'Настройки'!$B$8)</x:f>
      </x:c>
      <x:c r="P46" s="26" t="str">
        <x:f>IF(L46="","",L46+M46)</x:f>
      </x:c>
      <x:c r="Q46" s="26" t="str">
        <x:f>IF(P46="","",P46+O46)</x:f>
      </x:c>
    </x:row>
    <x:row r="47">
      <x:c r="A47" s="18"/>
      <x:c r="B47" t="str">
        <x:f>IF(A47="","",TEXT(A47,"dddd"))</x:f>
      </x:c>
      <x:c r="C47" s="20"/>
      <x:c r="D47" s="20"/>
      <x:c r="E47" s="22"/>
      <x:c r="F47" s="22"/>
      <x:c r="G47" s="24" t="str">
        <x:f>IF(OR(A47="",C47="",D47=""),"",IF(D47&gt;TIME(8,0,0),'Настройки'!$B$9,0))</x:f>
      </x:c>
      <x:c r="H47" s="24" t="str">
        <x:f>IF(OR(A47="",C47="",D47=""),"",IF(D47&gt;TIME(11,0,0),'Настройки'!$B$10,0))</x:f>
      </x:c>
      <x:c r="I47" s="22" t="str">
        <x:f>IF(OR(A47="",C47="",D47=""),"",MAX(((D47-C47)*24)-((G47+H47)/60),0))</x:f>
      </x:c>
      <x:c r="J47" s="22" t="str">
        <x:f>IF(I47="","",MIN(I47,8))</x:f>
      </x:c>
      <x:c r="K47" s="22" t="str">
        <x:f>IF(I47="","",MAX(I47-8,0))</x:f>
      </x:c>
      <x:c r="L47" s="26" t="str">
        <x:f>IF(J47="","",J47*'Настройки'!$B$5)</x:f>
      </x:c>
      <x:c r="M47" s="26" t="str">
        <x:f>IF(K47="","",K47*'Настройки'!$B$6)</x:f>
      </x:c>
      <x:c r="N47" s="22" t="str">
        <x:f>IF(E47="","",MAX(E47-'Настройки'!$B$7,0))</x:f>
      </x:c>
      <x:c r="O47" s="26" t="str">
        <x:f>IF(N47="","",N47*'Настройки'!$B$8)</x:f>
      </x:c>
      <x:c r="P47" s="26" t="str">
        <x:f>IF(L47="","",L47+M47)</x:f>
      </x:c>
      <x:c r="Q47" s="26" t="str">
        <x:f>IF(P47="","",P47+O47)</x:f>
      </x:c>
    </x:row>
    <x:row r="48">
      <x:c r="A48" s="18"/>
      <x:c r="B48" t="str">
        <x:f>IF(A48="","",TEXT(A48,"dddd"))</x:f>
      </x:c>
      <x:c r="C48" s="20"/>
      <x:c r="D48" s="20"/>
      <x:c r="E48" s="22"/>
      <x:c r="F48" s="22"/>
      <x:c r="G48" s="24" t="str">
        <x:f>IF(OR(A48="",C48="",D48=""),"",IF(D48&gt;TIME(8,0,0),'Настройки'!$B$9,0))</x:f>
      </x:c>
      <x:c r="H48" s="24" t="str">
        <x:f>IF(OR(A48="",C48="",D48=""),"",IF(D48&gt;TIME(11,0,0),'Настройки'!$B$10,0))</x:f>
      </x:c>
      <x:c r="I48" s="22" t="str">
        <x:f>IF(OR(A48="",C48="",D48=""),"",MAX(((D48-C48)*24)-((G48+H48)/60),0))</x:f>
      </x:c>
      <x:c r="J48" s="22" t="str">
        <x:f>IF(I48="","",MIN(I48,8))</x:f>
      </x:c>
      <x:c r="K48" s="22" t="str">
        <x:f>IF(I48="","",MAX(I48-8,0))</x:f>
      </x:c>
      <x:c r="L48" s="26" t="str">
        <x:f>IF(J48="","",J48*'Настройки'!$B$5)</x:f>
      </x:c>
      <x:c r="M48" s="26" t="str">
        <x:f>IF(K48="","",K48*'Настройки'!$B$6)</x:f>
      </x:c>
      <x:c r="N48" s="22" t="str">
        <x:f>IF(E48="","",MAX(E48-'Настройки'!$B$7,0))</x:f>
      </x:c>
      <x:c r="O48" s="26" t="str">
        <x:f>IF(N48="","",N48*'Настройки'!$B$8)</x:f>
      </x:c>
      <x:c r="P48" s="26" t="str">
        <x:f>IF(L48="","",L48+M48)</x:f>
      </x:c>
      <x:c r="Q48" s="26" t="str">
        <x:f>IF(P48="","",P48+O48)</x:f>
      </x:c>
    </x:row>
    <x:row r="49">
      <x:c r="A49" s="18"/>
      <x:c r="B49" t="str">
        <x:f>IF(A49="","",TEXT(A49,"dddd"))</x:f>
      </x:c>
      <x:c r="C49" s="20"/>
      <x:c r="D49" s="20"/>
      <x:c r="E49" s="22"/>
      <x:c r="F49" s="22"/>
      <x:c r="G49" s="24" t="str">
        <x:f>IF(OR(A49="",C49="",D49=""),"",IF(D49&gt;TIME(8,0,0),'Настройки'!$B$9,0))</x:f>
      </x:c>
      <x:c r="H49" s="24" t="str">
        <x:f>IF(OR(A49="",C49="",D49=""),"",IF(D49&gt;TIME(11,0,0),'Настройки'!$B$10,0))</x:f>
      </x:c>
      <x:c r="I49" s="22" t="str">
        <x:f>IF(OR(A49="",C49="",D49=""),"",MAX(((D49-C49)*24)-((G49+H49)/60),0))</x:f>
      </x:c>
      <x:c r="J49" s="22" t="str">
        <x:f>IF(I49="","",MIN(I49,8))</x:f>
      </x:c>
      <x:c r="K49" s="22" t="str">
        <x:f>IF(I49="","",MAX(I49-8,0))</x:f>
      </x:c>
      <x:c r="L49" s="26" t="str">
        <x:f>IF(J49="","",J49*'Настройки'!$B$5)</x:f>
      </x:c>
      <x:c r="M49" s="26" t="str">
        <x:f>IF(K49="","",K49*'Настройки'!$B$6)</x:f>
      </x:c>
      <x:c r="N49" s="22" t="str">
        <x:f>IF(E49="","",MAX(E49-'Настройки'!$B$7,0))</x:f>
      </x:c>
      <x:c r="O49" s="26" t="str">
        <x:f>IF(N49="","",N49*'Настройки'!$B$8)</x:f>
      </x:c>
      <x:c r="P49" s="26" t="str">
        <x:f>IF(L49="","",L49+M49)</x:f>
      </x:c>
      <x:c r="Q49" s="26" t="str">
        <x:f>IF(P49="","",P49+O49)</x:f>
      </x:c>
    </x:row>
    <x:row r="50">
      <x:c r="A50" s="18"/>
      <x:c r="B50" t="str">
        <x:f>IF(A50="","",TEXT(A50,"dddd"))</x:f>
      </x:c>
      <x:c r="C50" s="20"/>
      <x:c r="D50" s="20"/>
      <x:c r="E50" s="22"/>
      <x:c r="F50" s="22"/>
      <x:c r="G50" s="24" t="str">
        <x:f>IF(OR(A50="",C50="",D50=""),"",IF(D50&gt;TIME(8,0,0),'Настройки'!$B$9,0))</x:f>
      </x:c>
      <x:c r="H50" s="24" t="str">
        <x:f>IF(OR(A50="",C50="",D50=""),"",IF(D50&gt;TIME(11,0,0),'Настройки'!$B$10,0))</x:f>
      </x:c>
      <x:c r="I50" s="22" t="str">
        <x:f>IF(OR(A50="",C50="",D50=""),"",MAX(((D50-C50)*24)-((G50+H50)/60),0))</x:f>
      </x:c>
      <x:c r="J50" s="22" t="str">
        <x:f>IF(I50="","",MIN(I50,8))</x:f>
      </x:c>
      <x:c r="K50" s="22" t="str">
        <x:f>IF(I50="","",MAX(I50-8,0))</x:f>
      </x:c>
      <x:c r="L50" s="26" t="str">
        <x:f>IF(J50="","",J50*'Настройки'!$B$5)</x:f>
      </x:c>
      <x:c r="M50" s="26" t="str">
        <x:f>IF(K50="","",K50*'Настройки'!$B$6)</x:f>
      </x:c>
      <x:c r="N50" s="22" t="str">
        <x:f>IF(E50="","",MAX(E50-'Настройки'!$B$7,0))</x:f>
      </x:c>
      <x:c r="O50" s="26" t="str">
        <x:f>IF(N50="","",N50*'Настройки'!$B$8)</x:f>
      </x:c>
      <x:c r="P50" s="26" t="str">
        <x:f>IF(L50="","",L50+M50)</x:f>
      </x:c>
      <x:c r="Q50" s="26" t="str">
        <x:f>IF(P50="","",P50+O50)</x:f>
      </x:c>
    </x:row>
    <x:row r="51">
      <x:c r="A51" s="18"/>
      <x:c r="B51" t="str">
        <x:f>IF(A51="","",TEXT(A51,"dddd"))</x:f>
      </x:c>
      <x:c r="C51" s="20"/>
      <x:c r="D51" s="20"/>
      <x:c r="E51" s="22"/>
      <x:c r="F51" s="22"/>
      <x:c r="G51" s="24" t="str">
        <x:f>IF(OR(A51="",C51="",D51=""),"",IF(D51&gt;TIME(8,0,0),'Настройки'!$B$9,0))</x:f>
      </x:c>
      <x:c r="H51" s="24" t="str">
        <x:f>IF(OR(A51="",C51="",D51=""),"",IF(D51&gt;TIME(11,0,0),'Настройки'!$B$10,0))</x:f>
      </x:c>
      <x:c r="I51" s="22" t="str">
        <x:f>IF(OR(A51="",C51="",D51=""),"",MAX(((D51-C51)*24)-((G51+H51)/60),0))</x:f>
      </x:c>
      <x:c r="J51" s="22" t="str">
        <x:f>IF(I51="","",MIN(I51,8))</x:f>
      </x:c>
      <x:c r="K51" s="22" t="str">
        <x:f>IF(I51="","",MAX(I51-8,0))</x:f>
      </x:c>
      <x:c r="L51" s="26" t="str">
        <x:f>IF(J51="","",J51*'Настройки'!$B$5)</x:f>
      </x:c>
      <x:c r="M51" s="26" t="str">
        <x:f>IF(K51="","",K51*'Настройки'!$B$6)</x:f>
      </x:c>
      <x:c r="N51" s="22" t="str">
        <x:f>IF(E51="","",MAX(E51-'Настройки'!$B$7,0))</x:f>
      </x:c>
      <x:c r="O51" s="26" t="str">
        <x:f>IF(N51="","",N51*'Настройки'!$B$8)</x:f>
      </x:c>
      <x:c r="P51" s="26" t="str">
        <x:f>IF(L51="","",L51+M51)</x:f>
      </x:c>
      <x:c r="Q51" s="26" t="str">
        <x:f>IF(P51="","",P51+O51)</x:f>
      </x:c>
    </x:row>
    <x:row r="52">
      <x:c r="A52" s="18"/>
      <x:c r="B52" t="str">
        <x:f>IF(A52="","",TEXT(A52,"dddd"))</x:f>
      </x:c>
      <x:c r="C52" s="20"/>
      <x:c r="D52" s="20"/>
      <x:c r="E52" s="22"/>
      <x:c r="F52" s="22"/>
      <x:c r="G52" s="24" t="str">
        <x:f>IF(OR(A52="",C52="",D52=""),"",IF(D52&gt;TIME(8,0,0),'Настройки'!$B$9,0))</x:f>
      </x:c>
      <x:c r="H52" s="24" t="str">
        <x:f>IF(OR(A52="",C52="",D52=""),"",IF(D52&gt;TIME(11,0,0),'Настройки'!$B$10,0))</x:f>
      </x:c>
      <x:c r="I52" s="22" t="str">
        <x:f>IF(OR(A52="",C52="",D52=""),"",MAX(((D52-C52)*24)-((G52+H52)/60),0))</x:f>
      </x:c>
      <x:c r="J52" s="22" t="str">
        <x:f>IF(I52="","",MIN(I52,8))</x:f>
      </x:c>
      <x:c r="K52" s="22" t="str">
        <x:f>IF(I52="","",MAX(I52-8,0))</x:f>
      </x:c>
      <x:c r="L52" s="26" t="str">
        <x:f>IF(J52="","",J52*'Настройки'!$B$5)</x:f>
      </x:c>
      <x:c r="M52" s="26" t="str">
        <x:f>IF(K52="","",K52*'Настройки'!$B$6)</x:f>
      </x:c>
      <x:c r="N52" s="22" t="str">
        <x:f>IF(E52="","",MAX(E52-'Настройки'!$B$7,0))</x:f>
      </x:c>
      <x:c r="O52" s="26" t="str">
        <x:f>IF(N52="","",N52*'Настройки'!$B$8)</x:f>
      </x:c>
      <x:c r="P52" s="26" t="str">
        <x:f>IF(L52="","",L52+M52)</x:f>
      </x:c>
      <x:c r="Q52" s="26" t="str">
        <x:f>IF(P52="","",P52+O52)</x:f>
      </x:c>
    </x:row>
    <x:row r="53">
      <x:c r="A53" s="18"/>
      <x:c r="B53" t="str">
        <x:f>IF(A53="","",TEXT(A53,"dddd"))</x:f>
      </x:c>
      <x:c r="C53" s="20"/>
      <x:c r="D53" s="20"/>
      <x:c r="E53" s="22"/>
      <x:c r="F53" s="22"/>
      <x:c r="G53" s="24" t="str">
        <x:f>IF(OR(A53="",C53="",D53=""),"",IF(D53&gt;TIME(8,0,0),'Настройки'!$B$9,0))</x:f>
      </x:c>
      <x:c r="H53" s="24" t="str">
        <x:f>IF(OR(A53="",C53="",D53=""),"",IF(D53&gt;TIME(11,0,0),'Настройки'!$B$10,0))</x:f>
      </x:c>
      <x:c r="I53" s="22" t="str">
        <x:f>IF(OR(A53="",C53="",D53=""),"",MAX(((D53-C53)*24)-((G53+H53)/60),0))</x:f>
      </x:c>
      <x:c r="J53" s="22" t="str">
        <x:f>IF(I53="","",MIN(I53,8))</x:f>
      </x:c>
      <x:c r="K53" s="22" t="str">
        <x:f>IF(I53="","",MAX(I53-8,0))</x:f>
      </x:c>
      <x:c r="L53" s="26" t="str">
        <x:f>IF(J53="","",J53*'Настройки'!$B$5)</x:f>
      </x:c>
      <x:c r="M53" s="26" t="str">
        <x:f>IF(K53="","",K53*'Настройки'!$B$6)</x:f>
      </x:c>
      <x:c r="N53" s="22" t="str">
        <x:f>IF(E53="","",MAX(E53-'Настройки'!$B$7,0))</x:f>
      </x:c>
      <x:c r="O53" s="26" t="str">
        <x:f>IF(N53="","",N53*'Настройки'!$B$8)</x:f>
      </x:c>
      <x:c r="P53" s="26" t="str">
        <x:f>IF(L53="","",L53+M53)</x:f>
      </x:c>
      <x:c r="Q53" s="26" t="str">
        <x:f>IF(P53="","",P53+O53)</x:f>
      </x:c>
    </x:row>
    <x:row r="54">
      <x:c r="A54" s="18"/>
      <x:c r="B54" t="str">
        <x:f>IF(A54="","",TEXT(A54,"dddd"))</x:f>
      </x:c>
      <x:c r="C54" s="20"/>
      <x:c r="D54" s="20"/>
      <x:c r="E54" s="22"/>
      <x:c r="F54" s="22"/>
      <x:c r="G54" s="24" t="str">
        <x:f>IF(OR(A54="",C54="",D54=""),"",IF(D54&gt;TIME(8,0,0),'Настройки'!$B$9,0))</x:f>
      </x:c>
      <x:c r="H54" s="24" t="str">
        <x:f>IF(OR(A54="",C54="",D54=""),"",IF(D54&gt;TIME(11,0,0),'Настройки'!$B$10,0))</x:f>
      </x:c>
      <x:c r="I54" s="22" t="str">
        <x:f>IF(OR(A54="",C54="",D54=""),"",MAX(((D54-C54)*24)-((G54+H54)/60),0))</x:f>
      </x:c>
      <x:c r="J54" s="22" t="str">
        <x:f>IF(I54="","",MIN(I54,8))</x:f>
      </x:c>
      <x:c r="K54" s="22" t="str">
        <x:f>IF(I54="","",MAX(I54-8,0))</x:f>
      </x:c>
      <x:c r="L54" s="26" t="str">
        <x:f>IF(J54="","",J54*'Настройки'!$B$5)</x:f>
      </x:c>
      <x:c r="M54" s="26" t="str">
        <x:f>IF(K54="","",K54*'Настройки'!$B$6)</x:f>
      </x:c>
      <x:c r="N54" s="22" t="str">
        <x:f>IF(E54="","",MAX(E54-'Настройки'!$B$7,0))</x:f>
      </x:c>
      <x:c r="O54" s="26" t="str">
        <x:f>IF(N54="","",N54*'Настройки'!$B$8)</x:f>
      </x:c>
      <x:c r="P54" s="26" t="str">
        <x:f>IF(L54="","",L54+M54)</x:f>
      </x:c>
      <x:c r="Q54" s="26" t="str">
        <x:f>IF(P54="","",P54+O54)</x:f>
      </x:c>
    </x:row>
    <x:row r="55">
      <x:c r="A55" s="18"/>
      <x:c r="B55" t="str">
        <x:f>IF(A55="","",TEXT(A55,"dddd"))</x:f>
      </x:c>
      <x:c r="C55" s="20"/>
      <x:c r="D55" s="20"/>
      <x:c r="E55" s="22"/>
      <x:c r="F55" s="22"/>
      <x:c r="G55" s="24" t="str">
        <x:f>IF(OR(A55="",C55="",D55=""),"",IF(D55&gt;TIME(8,0,0),'Настройки'!$B$9,0))</x:f>
      </x:c>
      <x:c r="H55" s="24" t="str">
        <x:f>IF(OR(A55="",C55="",D55=""),"",IF(D55&gt;TIME(11,0,0),'Настройки'!$B$10,0))</x:f>
      </x:c>
      <x:c r="I55" s="22" t="str">
        <x:f>IF(OR(A55="",C55="",D55=""),"",MAX(((D55-C55)*24)-((G55+H55)/60),0))</x:f>
      </x:c>
      <x:c r="J55" s="22" t="str">
        <x:f>IF(I55="","",MIN(I55,8))</x:f>
      </x:c>
      <x:c r="K55" s="22" t="str">
        <x:f>IF(I55="","",MAX(I55-8,0))</x:f>
      </x:c>
      <x:c r="L55" s="26" t="str">
        <x:f>IF(J55="","",J55*'Настройки'!$B$5)</x:f>
      </x:c>
      <x:c r="M55" s="26" t="str">
        <x:f>IF(K55="","",K55*'Настройки'!$B$6)</x:f>
      </x:c>
      <x:c r="N55" s="22" t="str">
        <x:f>IF(E55="","",MAX(E55-'Настройки'!$B$7,0))</x:f>
      </x:c>
      <x:c r="O55" s="26" t="str">
        <x:f>IF(N55="","",N55*'Настройки'!$B$8)</x:f>
      </x:c>
      <x:c r="P55" s="26" t="str">
        <x:f>IF(L55="","",L55+M55)</x:f>
      </x:c>
      <x:c r="Q55" s="26" t="str">
        <x:f>IF(P55="","",P55+O55)</x:f>
      </x:c>
    </x:row>
    <x:row r="56">
      <x:c r="A56" s="18"/>
      <x:c r="B56" t="str">
        <x:f>IF(A56="","",TEXT(A56,"dddd"))</x:f>
      </x:c>
      <x:c r="C56" s="20"/>
      <x:c r="D56" s="20"/>
      <x:c r="E56" s="22"/>
      <x:c r="F56" s="22"/>
      <x:c r="G56" s="24" t="str">
        <x:f>IF(OR(A56="",C56="",D56=""),"",IF(D56&gt;TIME(8,0,0),'Настройки'!$B$9,0))</x:f>
      </x:c>
      <x:c r="H56" s="24" t="str">
        <x:f>IF(OR(A56="",C56="",D56=""),"",IF(D56&gt;TIME(11,0,0),'Настройки'!$B$10,0))</x:f>
      </x:c>
      <x:c r="I56" s="22" t="str">
        <x:f>IF(OR(A56="",C56="",D56=""),"",MAX(((D56-C56)*24)-((G56+H56)/60),0))</x:f>
      </x:c>
      <x:c r="J56" s="22" t="str">
        <x:f>IF(I56="","",MIN(I56,8))</x:f>
      </x:c>
      <x:c r="K56" s="22" t="str">
        <x:f>IF(I56="","",MAX(I56-8,0))</x:f>
      </x:c>
      <x:c r="L56" s="26" t="str">
        <x:f>IF(J56="","",J56*'Настройки'!$B$5)</x:f>
      </x:c>
      <x:c r="M56" s="26" t="str">
        <x:f>IF(K56="","",K56*'Настройки'!$B$6)</x:f>
      </x:c>
      <x:c r="N56" s="22" t="str">
        <x:f>IF(E56="","",MAX(E56-'Настройки'!$B$7,0))</x:f>
      </x:c>
      <x:c r="O56" s="26" t="str">
        <x:f>IF(N56="","",N56*'Настройки'!$B$8)</x:f>
      </x:c>
      <x:c r="P56" s="26" t="str">
        <x:f>IF(L56="","",L56+M56)</x:f>
      </x:c>
      <x:c r="Q56" s="26" t="str">
        <x:f>IF(P56="","",P56+O56)</x:f>
      </x:c>
    </x:row>
    <x:row r="57">
      <x:c r="A57" s="18"/>
      <x:c r="B57" t="str">
        <x:f>IF(A57="","",TEXT(A57,"dddd"))</x:f>
      </x:c>
      <x:c r="C57" s="20"/>
      <x:c r="D57" s="20"/>
      <x:c r="E57" s="22"/>
      <x:c r="F57" s="22"/>
      <x:c r="G57" s="24" t="str">
        <x:f>IF(OR(A57="",C57="",D57=""),"",IF(D57&gt;TIME(8,0,0),'Настройки'!$B$9,0))</x:f>
      </x:c>
      <x:c r="H57" s="24" t="str">
        <x:f>IF(OR(A57="",C57="",D57=""),"",IF(D57&gt;TIME(11,0,0),'Настройки'!$B$10,0))</x:f>
      </x:c>
      <x:c r="I57" s="22" t="str">
        <x:f>IF(OR(A57="",C57="",D57=""),"",MAX(((D57-C57)*24)-((G57+H57)/60),0))</x:f>
      </x:c>
      <x:c r="J57" s="22" t="str">
        <x:f>IF(I57="","",MIN(I57,8))</x:f>
      </x:c>
      <x:c r="K57" s="22" t="str">
        <x:f>IF(I57="","",MAX(I57-8,0))</x:f>
      </x:c>
      <x:c r="L57" s="26" t="str">
        <x:f>IF(J57="","",J57*'Настройки'!$B$5)</x:f>
      </x:c>
      <x:c r="M57" s="26" t="str">
        <x:f>IF(K57="","",K57*'Настройки'!$B$6)</x:f>
      </x:c>
      <x:c r="N57" s="22" t="str">
        <x:f>IF(E57="","",MAX(E57-'Настройки'!$B$7,0))</x:f>
      </x:c>
      <x:c r="O57" s="26" t="str">
        <x:f>IF(N57="","",N57*'Настройки'!$B$8)</x:f>
      </x:c>
      <x:c r="P57" s="26" t="str">
        <x:f>IF(L57="","",L57+M57)</x:f>
      </x:c>
      <x:c r="Q57" s="26" t="str">
        <x:f>IF(P57="","",P57+O57)</x:f>
      </x:c>
    </x:row>
    <x:row r="58">
      <x:c r="A58" s="18"/>
      <x:c r="B58" t="str">
        <x:f>IF(A58="","",TEXT(A58,"dddd"))</x:f>
      </x:c>
      <x:c r="C58" s="20"/>
      <x:c r="D58" s="20"/>
      <x:c r="E58" s="22"/>
      <x:c r="F58" s="22"/>
      <x:c r="G58" s="24" t="str">
        <x:f>IF(OR(A58="",C58="",D58=""),"",IF(D58&gt;TIME(8,0,0),'Настройки'!$B$9,0))</x:f>
      </x:c>
      <x:c r="H58" s="24" t="str">
        <x:f>IF(OR(A58="",C58="",D58=""),"",IF(D58&gt;TIME(11,0,0),'Настройки'!$B$10,0))</x:f>
      </x:c>
      <x:c r="I58" s="22" t="str">
        <x:f>IF(OR(A58="",C58="",D58=""),"",MAX(((D58-C58)*24)-((G58+H58)/60),0))</x:f>
      </x:c>
      <x:c r="J58" s="22" t="str">
        <x:f>IF(I58="","",MIN(I58,8))</x:f>
      </x:c>
      <x:c r="K58" s="22" t="str">
        <x:f>IF(I58="","",MAX(I58-8,0))</x:f>
      </x:c>
      <x:c r="L58" s="26" t="str">
        <x:f>IF(J58="","",J58*'Настройки'!$B$5)</x:f>
      </x:c>
      <x:c r="M58" s="26" t="str">
        <x:f>IF(K58="","",K58*'Настройки'!$B$6)</x:f>
      </x:c>
      <x:c r="N58" s="22" t="str">
        <x:f>IF(E58="","",MAX(E58-'Настройки'!$B$7,0))</x:f>
      </x:c>
      <x:c r="O58" s="26" t="str">
        <x:f>IF(N58="","",N58*'Настройки'!$B$8)</x:f>
      </x:c>
      <x:c r="P58" s="26" t="str">
        <x:f>IF(L58="","",L58+M58)</x:f>
      </x:c>
      <x:c r="Q58" s="26" t="str">
        <x:f>IF(P58="","",P58+O58)</x:f>
      </x:c>
    </x:row>
    <x:row r="59">
      <x:c r="A59" s="18"/>
      <x:c r="B59" t="str">
        <x:f>IF(A59="","",TEXT(A59,"dddd"))</x:f>
      </x:c>
      <x:c r="C59" s="20"/>
      <x:c r="D59" s="20"/>
      <x:c r="E59" s="22"/>
      <x:c r="F59" s="22"/>
      <x:c r="G59" s="24" t="str">
        <x:f>IF(OR(A59="",C59="",D59=""),"",IF(D59&gt;TIME(8,0,0),'Настройки'!$B$9,0))</x:f>
      </x:c>
      <x:c r="H59" s="24" t="str">
        <x:f>IF(OR(A59="",C59="",D59=""),"",IF(D59&gt;TIME(11,0,0),'Настройки'!$B$10,0))</x:f>
      </x:c>
      <x:c r="I59" s="22" t="str">
        <x:f>IF(OR(A59="",C59="",D59=""),"",MAX(((D59-C59)*24)-((G59+H59)/60),0))</x:f>
      </x:c>
      <x:c r="J59" s="22" t="str">
        <x:f>IF(I59="","",MIN(I59,8))</x:f>
      </x:c>
      <x:c r="K59" s="22" t="str">
        <x:f>IF(I59="","",MAX(I59-8,0))</x:f>
      </x:c>
      <x:c r="L59" s="26" t="str">
        <x:f>IF(J59="","",J59*'Настройки'!$B$5)</x:f>
      </x:c>
      <x:c r="M59" s="26" t="str">
        <x:f>IF(K59="","",K59*'Настройки'!$B$6)</x:f>
      </x:c>
      <x:c r="N59" s="22" t="str">
        <x:f>IF(E59="","",MAX(E59-'Настройки'!$B$7,0))</x:f>
      </x:c>
      <x:c r="O59" s="26" t="str">
        <x:f>IF(N59="","",N59*'Настройки'!$B$8)</x:f>
      </x:c>
      <x:c r="P59" s="26" t="str">
        <x:f>IF(L59="","",L59+M59)</x:f>
      </x:c>
      <x:c r="Q59" s="26" t="str">
        <x:f>IF(P59="","",P59+O59)</x:f>
      </x:c>
    </x:row>
    <x:row r="60">
      <x:c r="A60" s="18"/>
      <x:c r="B60" t="str">
        <x:f>IF(A60="","",TEXT(A60,"dddd"))</x:f>
      </x:c>
      <x:c r="C60" s="20"/>
      <x:c r="D60" s="20"/>
      <x:c r="E60" s="22"/>
      <x:c r="F60" s="22"/>
      <x:c r="G60" s="24" t="str">
        <x:f>IF(OR(A60="",C60="",D60=""),"",IF(D60&gt;TIME(8,0,0),'Настройки'!$B$9,0))</x:f>
      </x:c>
      <x:c r="H60" s="24" t="str">
        <x:f>IF(OR(A60="",C60="",D60=""),"",IF(D60&gt;TIME(11,0,0),'Настройки'!$B$10,0))</x:f>
      </x:c>
      <x:c r="I60" s="22" t="str">
        <x:f>IF(OR(A60="",C60="",D60=""),"",MAX(((D60-C60)*24)-((G60+H60)/60),0))</x:f>
      </x:c>
      <x:c r="J60" s="22" t="str">
        <x:f>IF(I60="","",MIN(I60,8))</x:f>
      </x:c>
      <x:c r="K60" s="22" t="str">
        <x:f>IF(I60="","",MAX(I60-8,0))</x:f>
      </x:c>
      <x:c r="L60" s="26" t="str">
        <x:f>IF(J60="","",J60*'Настройки'!$B$5)</x:f>
      </x:c>
      <x:c r="M60" s="26" t="str">
        <x:f>IF(K60="","",K60*'Настройки'!$B$6)</x:f>
      </x:c>
      <x:c r="N60" s="22" t="str">
        <x:f>IF(E60="","",MAX(E60-'Настройки'!$B$7,0))</x:f>
      </x:c>
      <x:c r="O60" s="26" t="str">
        <x:f>IF(N60="","",N60*'Настройки'!$B$8)</x:f>
      </x:c>
      <x:c r="P60" s="26" t="str">
        <x:f>IF(L60="","",L60+M60)</x:f>
      </x:c>
      <x:c r="Q60" s="26" t="str">
        <x:f>IF(P60="","",P60+O60)</x:f>
      </x:c>
    </x:row>
    <x:row r="61">
      <x:c r="A61" s="18"/>
      <x:c r="B61" t="str">
        <x:f>IF(A61="","",TEXT(A61,"dddd"))</x:f>
      </x:c>
      <x:c r="C61" s="20"/>
      <x:c r="D61" s="20"/>
      <x:c r="E61" s="22"/>
      <x:c r="F61" s="22"/>
      <x:c r="G61" s="24" t="str">
        <x:f>IF(OR(A61="",C61="",D61=""),"",IF(D61&gt;TIME(8,0,0),'Настройки'!$B$9,0))</x:f>
      </x:c>
      <x:c r="H61" s="24" t="str">
        <x:f>IF(OR(A61="",C61="",D61=""),"",IF(D61&gt;TIME(11,0,0),'Настройки'!$B$10,0))</x:f>
      </x:c>
      <x:c r="I61" s="22" t="str">
        <x:f>IF(OR(A61="",C61="",D61=""),"",MAX(((D61-C61)*24)-((G61+H61)/60),0))</x:f>
      </x:c>
      <x:c r="J61" s="22" t="str">
        <x:f>IF(I61="","",MIN(I61,8))</x:f>
      </x:c>
      <x:c r="K61" s="22" t="str">
        <x:f>IF(I61="","",MAX(I61-8,0))</x:f>
      </x:c>
      <x:c r="L61" s="26" t="str">
        <x:f>IF(J61="","",J61*'Настройки'!$B$5)</x:f>
      </x:c>
      <x:c r="M61" s="26" t="str">
        <x:f>IF(K61="","",K61*'Настройки'!$B$6)</x:f>
      </x:c>
      <x:c r="N61" s="22" t="str">
        <x:f>IF(E61="","",MAX(E61-'Настройки'!$B$7,0))</x:f>
      </x:c>
      <x:c r="O61" s="26" t="str">
        <x:f>IF(N61="","",N61*'Настройки'!$B$8)</x:f>
      </x:c>
      <x:c r="P61" s="26" t="str">
        <x:f>IF(L61="","",L61+M61)</x:f>
      </x:c>
      <x:c r="Q61" s="26" t="str">
        <x:f>IF(P61="","",P61+O61)</x:f>
      </x:c>
    </x:row>
    <x:row r="62">
      <x:c r="A62" s="18"/>
      <x:c r="B62" t="str">
        <x:f>IF(A62="","",TEXT(A62,"dddd"))</x:f>
      </x:c>
      <x:c r="C62" s="20"/>
      <x:c r="D62" s="20"/>
      <x:c r="E62" s="22"/>
      <x:c r="F62" s="22"/>
      <x:c r="G62" s="24" t="str">
        <x:f>IF(OR(A62="",C62="",D62=""),"",IF(D62&gt;TIME(8,0,0),'Настройки'!$B$9,0))</x:f>
      </x:c>
      <x:c r="H62" s="24" t="str">
        <x:f>IF(OR(A62="",C62="",D62=""),"",IF(D62&gt;TIME(11,0,0),'Настройки'!$B$10,0))</x:f>
      </x:c>
      <x:c r="I62" s="22" t="str">
        <x:f>IF(OR(A62="",C62="",D62=""),"",MAX(((D62-C62)*24)-((G62+H62)/60),0))</x:f>
      </x:c>
      <x:c r="J62" s="22" t="str">
        <x:f>IF(I62="","",MIN(I62,8))</x:f>
      </x:c>
      <x:c r="K62" s="22" t="str">
        <x:f>IF(I62="","",MAX(I62-8,0))</x:f>
      </x:c>
      <x:c r="L62" s="26" t="str">
        <x:f>IF(J62="","",J62*'Настройки'!$B$5)</x:f>
      </x:c>
      <x:c r="M62" s="26" t="str">
        <x:f>IF(K62="","",K62*'Настройки'!$B$6)</x:f>
      </x:c>
      <x:c r="N62" s="22" t="str">
        <x:f>IF(E62="","",MAX(E62-'Настройки'!$B$7,0))</x:f>
      </x:c>
      <x:c r="O62" s="26" t="str">
        <x:f>IF(N62="","",N62*'Настройки'!$B$8)</x:f>
      </x:c>
      <x:c r="P62" s="26" t="str">
        <x:f>IF(L62="","",L62+M62)</x:f>
      </x:c>
      <x:c r="Q62" s="26" t="str">
        <x:f>IF(P62="","",P62+O62)</x:f>
      </x:c>
    </x:row>
    <x:row r="63">
      <x:c r="A63" s="18"/>
      <x:c r="B63" t="str">
        <x:f>IF(A63="","",TEXT(A63,"dddd"))</x:f>
      </x:c>
      <x:c r="C63" s="20"/>
      <x:c r="D63" s="20"/>
      <x:c r="E63" s="22"/>
      <x:c r="F63" s="22"/>
      <x:c r="G63" s="24" t="str">
        <x:f>IF(OR(A63="",C63="",D63=""),"",IF(D63&gt;TIME(8,0,0),'Настройки'!$B$9,0))</x:f>
      </x:c>
      <x:c r="H63" s="24" t="str">
        <x:f>IF(OR(A63="",C63="",D63=""),"",IF(D63&gt;TIME(11,0,0),'Настройки'!$B$10,0))</x:f>
      </x:c>
      <x:c r="I63" s="22" t="str">
        <x:f>IF(OR(A63="",C63="",D63=""),"",MAX(((D63-C63)*24)-((G63+H63)/60),0))</x:f>
      </x:c>
      <x:c r="J63" s="22" t="str">
        <x:f>IF(I63="","",MIN(I63,8))</x:f>
      </x:c>
      <x:c r="K63" s="22" t="str">
        <x:f>IF(I63="","",MAX(I63-8,0))</x:f>
      </x:c>
      <x:c r="L63" s="26" t="str">
        <x:f>IF(J63="","",J63*'Настройки'!$B$5)</x:f>
      </x:c>
      <x:c r="M63" s="26" t="str">
        <x:f>IF(K63="","",K63*'Настройки'!$B$6)</x:f>
      </x:c>
      <x:c r="N63" s="22" t="str">
        <x:f>IF(E63="","",MAX(E63-'Настройки'!$B$7,0))</x:f>
      </x:c>
      <x:c r="O63" s="26" t="str">
        <x:f>IF(N63="","",N63*'Настройки'!$B$8)</x:f>
      </x:c>
      <x:c r="P63" s="26" t="str">
        <x:f>IF(L63="","",L63+M63)</x:f>
      </x:c>
      <x:c r="Q63" s="26" t="str">
        <x:f>IF(P63="","",P63+O63)</x:f>
      </x:c>
    </x:row>
    <x:row r="64">
      <x:c r="A64" s="18"/>
      <x:c r="B64" t="str">
        <x:f>IF(A64="","",TEXT(A64,"dddd"))</x:f>
      </x:c>
      <x:c r="C64" s="20"/>
      <x:c r="D64" s="20"/>
      <x:c r="E64" s="22"/>
      <x:c r="F64" s="22"/>
      <x:c r="G64" s="24" t="str">
        <x:f>IF(OR(A64="",C64="",D64=""),"",IF(D64&gt;TIME(8,0,0),'Настройки'!$B$9,0))</x:f>
      </x:c>
      <x:c r="H64" s="24" t="str">
        <x:f>IF(OR(A64="",C64="",D64=""),"",IF(D64&gt;TIME(11,0,0),'Настройки'!$B$10,0))</x:f>
      </x:c>
      <x:c r="I64" s="22" t="str">
        <x:f>IF(OR(A64="",C64="",D64=""),"",MAX(((D64-C64)*24)-((G64+H64)/60),0))</x:f>
      </x:c>
      <x:c r="J64" s="22" t="str">
        <x:f>IF(I64="","",MIN(I64,8))</x:f>
      </x:c>
      <x:c r="K64" s="22" t="str">
        <x:f>IF(I64="","",MAX(I64-8,0))</x:f>
      </x:c>
      <x:c r="L64" s="26" t="str">
        <x:f>IF(J64="","",J64*'Настройки'!$B$5)</x:f>
      </x:c>
      <x:c r="M64" s="26" t="str">
        <x:f>IF(K64="","",K64*'Настройки'!$B$6)</x:f>
      </x:c>
      <x:c r="N64" s="22" t="str">
        <x:f>IF(E64="","",MAX(E64-'Настройки'!$B$7,0))</x:f>
      </x:c>
      <x:c r="O64" s="26" t="str">
        <x:f>IF(N64="","",N64*'Настройки'!$B$8)</x:f>
      </x:c>
      <x:c r="P64" s="26" t="str">
        <x:f>IF(L64="","",L64+M64)</x:f>
      </x:c>
      <x:c r="Q64" s="26" t="str">
        <x:f>IF(P64="","",P64+O64)</x:f>
      </x:c>
    </x:row>
    <x:row r="65">
      <x:c r="A65" s="18"/>
      <x:c r="B65" t="str">
        <x:f>IF(A65="","",TEXT(A65,"dddd"))</x:f>
      </x:c>
      <x:c r="C65" s="20"/>
      <x:c r="D65" s="20"/>
      <x:c r="E65" s="22"/>
      <x:c r="F65" s="22"/>
      <x:c r="G65" s="24" t="str">
        <x:f>IF(OR(A65="",C65="",D65=""),"",IF(D65&gt;TIME(8,0,0),'Настройки'!$B$9,0))</x:f>
      </x:c>
      <x:c r="H65" s="24" t="str">
        <x:f>IF(OR(A65="",C65="",D65=""),"",IF(D65&gt;TIME(11,0,0),'Настройки'!$B$10,0))</x:f>
      </x:c>
      <x:c r="I65" s="22" t="str">
        <x:f>IF(OR(A65="",C65="",D65=""),"",MAX(((D65-C65)*24)-((G65+H65)/60),0))</x:f>
      </x:c>
      <x:c r="J65" s="22" t="str">
        <x:f>IF(I65="","",MIN(I65,8))</x:f>
      </x:c>
      <x:c r="K65" s="22" t="str">
        <x:f>IF(I65="","",MAX(I65-8,0))</x:f>
      </x:c>
      <x:c r="L65" s="26" t="str">
        <x:f>IF(J65="","",J65*'Настройки'!$B$5)</x:f>
      </x:c>
      <x:c r="M65" s="26" t="str">
        <x:f>IF(K65="","",K65*'Настройки'!$B$6)</x:f>
      </x:c>
      <x:c r="N65" s="22" t="str">
        <x:f>IF(E65="","",MAX(E65-'Настройки'!$B$7,0))</x:f>
      </x:c>
      <x:c r="O65" s="26" t="str">
        <x:f>IF(N65="","",N65*'Настройки'!$B$8)</x:f>
      </x:c>
      <x:c r="P65" s="26" t="str">
        <x:f>IF(L65="","",L65+M65)</x:f>
      </x:c>
      <x:c r="Q65" s="26" t="str">
        <x:f>IF(P65="","",P65+O65)</x:f>
      </x:c>
    </x:row>
    <x:row r="66">
      <x:c r="A66" s="18"/>
      <x:c r="B66" t="str">
        <x:f>IF(A66="","",TEXT(A66,"dddd"))</x:f>
      </x:c>
      <x:c r="C66" s="20"/>
      <x:c r="D66" s="20"/>
      <x:c r="E66" s="22"/>
      <x:c r="F66" s="22"/>
      <x:c r="G66" s="24" t="str">
        <x:f>IF(OR(A66="",C66="",D66=""),"",IF(D66&gt;TIME(8,0,0),'Настройки'!$B$9,0))</x:f>
      </x:c>
      <x:c r="H66" s="24" t="str">
        <x:f>IF(OR(A66="",C66="",D66=""),"",IF(D66&gt;TIME(11,0,0),'Настройки'!$B$10,0))</x:f>
      </x:c>
      <x:c r="I66" s="22" t="str">
        <x:f>IF(OR(A66="",C66="",D66=""),"",MAX(((D66-C66)*24)-((G66+H66)/60),0))</x:f>
      </x:c>
      <x:c r="J66" s="22" t="str">
        <x:f>IF(I66="","",MIN(I66,8))</x:f>
      </x:c>
      <x:c r="K66" s="22" t="str">
        <x:f>IF(I66="","",MAX(I66-8,0))</x:f>
      </x:c>
      <x:c r="L66" s="26" t="str">
        <x:f>IF(J66="","",J66*'Настройки'!$B$5)</x:f>
      </x:c>
      <x:c r="M66" s="26" t="str">
        <x:f>IF(K66="","",K66*'Настройки'!$B$6)</x:f>
      </x:c>
      <x:c r="N66" s="22" t="str">
        <x:f>IF(E66="","",MAX(E66-'Настройки'!$B$7,0))</x:f>
      </x:c>
      <x:c r="O66" s="26" t="str">
        <x:f>IF(N66="","",N66*'Настройки'!$B$8)</x:f>
      </x:c>
      <x:c r="P66" s="26" t="str">
        <x:f>IF(L66="","",L66+M66)</x:f>
      </x:c>
      <x:c r="Q66" s="26" t="str">
        <x:f>IF(P66="","",P66+O66)</x:f>
      </x:c>
    </x:row>
    <x:row r="67">
      <x:c r="A67" s="18"/>
      <x:c r="B67" t="str">
        <x:f>IF(A67="","",TEXT(A67,"dddd"))</x:f>
      </x:c>
      <x:c r="C67" s="20"/>
      <x:c r="D67" s="20"/>
      <x:c r="E67" s="22"/>
      <x:c r="F67" s="22"/>
      <x:c r="G67" s="24" t="str">
        <x:f>IF(OR(A67="",C67="",D67=""),"",IF(D67&gt;TIME(8,0,0),'Настройки'!$B$9,0))</x:f>
      </x:c>
      <x:c r="H67" s="24" t="str">
        <x:f>IF(OR(A67="",C67="",D67=""),"",IF(D67&gt;TIME(11,0,0),'Настройки'!$B$10,0))</x:f>
      </x:c>
      <x:c r="I67" s="22" t="str">
        <x:f>IF(OR(A67="",C67="",D67=""),"",MAX(((D67-C67)*24)-((G67+H67)/60),0))</x:f>
      </x:c>
      <x:c r="J67" s="22" t="str">
        <x:f>IF(I67="","",MIN(I67,8))</x:f>
      </x:c>
      <x:c r="K67" s="22" t="str">
        <x:f>IF(I67="","",MAX(I67-8,0))</x:f>
      </x:c>
      <x:c r="L67" s="26" t="str">
        <x:f>IF(J67="","",J67*'Настройки'!$B$5)</x:f>
      </x:c>
      <x:c r="M67" s="26" t="str">
        <x:f>IF(K67="","",K67*'Настройки'!$B$6)</x:f>
      </x:c>
      <x:c r="N67" s="22" t="str">
        <x:f>IF(E67="","",MAX(E67-'Настройки'!$B$7,0))</x:f>
      </x:c>
      <x:c r="O67" s="26" t="str">
        <x:f>IF(N67="","",N67*'Настройки'!$B$8)</x:f>
      </x:c>
      <x:c r="P67" s="26" t="str">
        <x:f>IF(L67="","",L67+M67)</x:f>
      </x:c>
      <x:c r="Q67" s="26" t="str">
        <x:f>IF(P67="","",P67+O67)</x:f>
      </x:c>
    </x:row>
    <x:row r="68">
      <x:c r="A68" s="18"/>
      <x:c r="B68" t="str">
        <x:f>IF(A68="","",TEXT(A68,"dddd"))</x:f>
      </x:c>
      <x:c r="C68" s="20"/>
      <x:c r="D68" s="20"/>
      <x:c r="E68" s="22"/>
      <x:c r="F68" s="22"/>
      <x:c r="G68" s="24" t="str">
        <x:f>IF(OR(A68="",C68="",D68=""),"",IF(D68&gt;TIME(8,0,0),'Настройки'!$B$9,0))</x:f>
      </x:c>
      <x:c r="H68" s="24" t="str">
        <x:f>IF(OR(A68="",C68="",D68=""),"",IF(D68&gt;TIME(11,0,0),'Настройки'!$B$10,0))</x:f>
      </x:c>
      <x:c r="I68" s="22" t="str">
        <x:f>IF(OR(A68="",C68="",D68=""),"",MAX(((D68-C68)*24)-((G68+H68)/60),0))</x:f>
      </x:c>
      <x:c r="J68" s="22" t="str">
        <x:f>IF(I68="","",MIN(I68,8))</x:f>
      </x:c>
      <x:c r="K68" s="22" t="str">
        <x:f>IF(I68="","",MAX(I68-8,0))</x:f>
      </x:c>
      <x:c r="L68" s="26" t="str">
        <x:f>IF(J68="","",J68*'Настройки'!$B$5)</x:f>
      </x:c>
      <x:c r="M68" s="26" t="str">
        <x:f>IF(K68="","",K68*'Настройки'!$B$6)</x:f>
      </x:c>
      <x:c r="N68" s="22" t="str">
        <x:f>IF(E68="","",MAX(E68-'Настройки'!$B$7,0))</x:f>
      </x:c>
      <x:c r="O68" s="26" t="str">
        <x:f>IF(N68="","",N68*'Настройки'!$B$8)</x:f>
      </x:c>
      <x:c r="P68" s="26" t="str">
        <x:f>IF(L68="","",L68+M68)</x:f>
      </x:c>
      <x:c r="Q68" s="26" t="str">
        <x:f>IF(P68="","",P68+O68)</x:f>
      </x:c>
    </x:row>
    <x:row r="69">
      <x:c r="A69" s="18"/>
      <x:c r="B69" t="str">
        <x:f>IF(A69="","",TEXT(A69,"dddd"))</x:f>
      </x:c>
      <x:c r="C69" s="20"/>
      <x:c r="D69" s="20"/>
      <x:c r="E69" s="22"/>
      <x:c r="F69" s="22"/>
      <x:c r="G69" s="24" t="str">
        <x:f>IF(OR(A69="",C69="",D69=""),"",IF(D69&gt;TIME(8,0,0),'Настройки'!$B$9,0))</x:f>
      </x:c>
      <x:c r="H69" s="24" t="str">
        <x:f>IF(OR(A69="",C69="",D69=""),"",IF(D69&gt;TIME(11,0,0),'Настройки'!$B$10,0))</x:f>
      </x:c>
      <x:c r="I69" s="22" t="str">
        <x:f>IF(OR(A69="",C69="",D69=""),"",MAX(((D69-C69)*24)-((G69+H69)/60),0))</x:f>
      </x:c>
      <x:c r="J69" s="22" t="str">
        <x:f>IF(I69="","",MIN(I69,8))</x:f>
      </x:c>
      <x:c r="K69" s="22" t="str">
        <x:f>IF(I69="","",MAX(I69-8,0))</x:f>
      </x:c>
      <x:c r="L69" s="26" t="str">
        <x:f>IF(J69="","",J69*'Настройки'!$B$5)</x:f>
      </x:c>
      <x:c r="M69" s="26" t="str">
        <x:f>IF(K69="","",K69*'Настройки'!$B$6)</x:f>
      </x:c>
      <x:c r="N69" s="22" t="str">
        <x:f>IF(E69="","",MAX(E69-'Настройки'!$B$7,0))</x:f>
      </x:c>
      <x:c r="O69" s="26" t="str">
        <x:f>IF(N69="","",N69*'Настройки'!$B$8)</x:f>
      </x:c>
      <x:c r="P69" s="26" t="str">
        <x:f>IF(L69="","",L69+M69)</x:f>
      </x:c>
      <x:c r="Q69" s="26" t="str">
        <x:f>IF(P69="","",P69+O69)</x:f>
      </x:c>
    </x:row>
    <x:row r="70">
      <x:c r="A70" s="18"/>
      <x:c r="B70" t="str">
        <x:f>IF(A70="","",TEXT(A70,"dddd"))</x:f>
      </x:c>
      <x:c r="C70" s="20"/>
      <x:c r="D70" s="20"/>
      <x:c r="E70" s="22"/>
      <x:c r="F70" s="22"/>
      <x:c r="G70" s="24" t="str">
        <x:f>IF(OR(A70="",C70="",D70=""),"",IF(D70&gt;TIME(8,0,0),'Настройки'!$B$9,0))</x:f>
      </x:c>
      <x:c r="H70" s="24" t="str">
        <x:f>IF(OR(A70="",C70="",D70=""),"",IF(D70&gt;TIME(11,0,0),'Настройки'!$B$10,0))</x:f>
      </x:c>
      <x:c r="I70" s="22" t="str">
        <x:f>IF(OR(A70="",C70="",D70=""),"",MAX(((D70-C70)*24)-((G70+H70)/60),0))</x:f>
      </x:c>
      <x:c r="J70" s="22" t="str">
        <x:f>IF(I70="","",MIN(I70,8))</x:f>
      </x:c>
      <x:c r="K70" s="22" t="str">
        <x:f>IF(I70="","",MAX(I70-8,0))</x:f>
      </x:c>
      <x:c r="L70" s="26" t="str">
        <x:f>IF(J70="","",J70*'Настройки'!$B$5)</x:f>
      </x:c>
      <x:c r="M70" s="26" t="str">
        <x:f>IF(K70="","",K70*'Настройки'!$B$6)</x:f>
      </x:c>
      <x:c r="N70" s="22" t="str">
        <x:f>IF(E70="","",MAX(E70-'Настройки'!$B$7,0))</x:f>
      </x:c>
      <x:c r="O70" s="26" t="str">
        <x:f>IF(N70="","",N70*'Настройки'!$B$8)</x:f>
      </x:c>
      <x:c r="P70" s="26" t="str">
        <x:f>IF(L70="","",L70+M70)</x:f>
      </x:c>
      <x:c r="Q70" s="26" t="str">
        <x:f>IF(P70="","",P70+O70)</x:f>
      </x:c>
    </x:row>
    <x:row r="71">
      <x:c r="A71" s="18"/>
      <x:c r="B71" t="str">
        <x:f>IF(A71="","",TEXT(A71,"dddd"))</x:f>
      </x:c>
      <x:c r="C71" s="20"/>
      <x:c r="D71" s="20"/>
      <x:c r="E71" s="22"/>
      <x:c r="F71" s="22"/>
      <x:c r="G71" s="24" t="str">
        <x:f>IF(OR(A71="",C71="",D71=""),"",IF(D71&gt;TIME(8,0,0),'Настройки'!$B$9,0))</x:f>
      </x:c>
      <x:c r="H71" s="24" t="str">
        <x:f>IF(OR(A71="",C71="",D71=""),"",IF(D71&gt;TIME(11,0,0),'Настройки'!$B$10,0))</x:f>
      </x:c>
      <x:c r="I71" s="22" t="str">
        <x:f>IF(OR(A71="",C71="",D71=""),"",MAX(((D71-C71)*24)-((G71+H71)/60),0))</x:f>
      </x:c>
      <x:c r="J71" s="22" t="str">
        <x:f>IF(I71="","",MIN(I71,8))</x:f>
      </x:c>
      <x:c r="K71" s="22" t="str">
        <x:f>IF(I71="","",MAX(I71-8,0))</x:f>
      </x:c>
      <x:c r="L71" s="26" t="str">
        <x:f>IF(J71="","",J71*'Настройки'!$B$5)</x:f>
      </x:c>
      <x:c r="M71" s="26" t="str">
        <x:f>IF(K71="","",K71*'Настройки'!$B$6)</x:f>
      </x:c>
      <x:c r="N71" s="22" t="str">
        <x:f>IF(E71="","",MAX(E71-'Настройки'!$B$7,0))</x:f>
      </x:c>
      <x:c r="O71" s="26" t="str">
        <x:f>IF(N71="","",N71*'Настройки'!$B$8)</x:f>
      </x:c>
      <x:c r="P71" s="26" t="str">
        <x:f>IF(L71="","",L71+M71)</x:f>
      </x:c>
      <x:c r="Q71" s="26" t="str">
        <x:f>IF(P71="","",P71+O71)</x:f>
      </x:c>
    </x:row>
    <x:row r="72">
      <x:c r="A72" s="18"/>
      <x:c r="B72" t="str">
        <x:f>IF(A72="","",TEXT(A72,"dddd"))</x:f>
      </x:c>
      <x:c r="C72" s="20"/>
      <x:c r="D72" s="20"/>
      <x:c r="E72" s="22"/>
      <x:c r="F72" s="22"/>
      <x:c r="G72" s="24" t="str">
        <x:f>IF(OR(A72="",C72="",D72=""),"",IF(D72&gt;TIME(8,0,0),'Настройки'!$B$9,0))</x:f>
      </x:c>
      <x:c r="H72" s="24" t="str">
        <x:f>IF(OR(A72="",C72="",D72=""),"",IF(D72&gt;TIME(11,0,0),'Настройки'!$B$10,0))</x:f>
      </x:c>
      <x:c r="I72" s="22" t="str">
        <x:f>IF(OR(A72="",C72="",D72=""),"",MAX(((D72-C72)*24)-((G72+H72)/60),0))</x:f>
      </x:c>
      <x:c r="J72" s="22" t="str">
        <x:f>IF(I72="","",MIN(I72,8))</x:f>
      </x:c>
      <x:c r="K72" s="22" t="str">
        <x:f>IF(I72="","",MAX(I72-8,0))</x:f>
      </x:c>
      <x:c r="L72" s="26" t="str">
        <x:f>IF(J72="","",J72*'Настройки'!$B$5)</x:f>
      </x:c>
      <x:c r="M72" s="26" t="str">
        <x:f>IF(K72="","",K72*'Настройки'!$B$6)</x:f>
      </x:c>
      <x:c r="N72" s="22" t="str">
        <x:f>IF(E72="","",MAX(E72-'Настройки'!$B$7,0))</x:f>
      </x:c>
      <x:c r="O72" s="26" t="str">
        <x:f>IF(N72="","",N72*'Настройки'!$B$8)</x:f>
      </x:c>
      <x:c r="P72" s="26" t="str">
        <x:f>IF(L72="","",L72+M72)</x:f>
      </x:c>
      <x:c r="Q72" s="26" t="str">
        <x:f>IF(P72="","",P72+O72)</x:f>
      </x:c>
    </x:row>
    <x:row r="73">
      <x:c r="A73" s="18"/>
      <x:c r="B73" t="str">
        <x:f>IF(A73="","",TEXT(A73,"dddd"))</x:f>
      </x:c>
      <x:c r="C73" s="20"/>
      <x:c r="D73" s="20"/>
      <x:c r="E73" s="22"/>
      <x:c r="F73" s="22"/>
      <x:c r="G73" s="24" t="str">
        <x:f>IF(OR(A73="",C73="",D73=""),"",IF(D73&gt;TIME(8,0,0),'Настройки'!$B$9,0))</x:f>
      </x:c>
      <x:c r="H73" s="24" t="str">
        <x:f>IF(OR(A73="",C73="",D73=""),"",IF(D73&gt;TIME(11,0,0),'Настройки'!$B$10,0))</x:f>
      </x:c>
      <x:c r="I73" s="22" t="str">
        <x:f>IF(OR(A73="",C73="",D73=""),"",MAX(((D73-C73)*24)-((G73+H73)/60),0))</x:f>
      </x:c>
      <x:c r="J73" s="22" t="str">
        <x:f>IF(I73="","",MIN(I73,8))</x:f>
      </x:c>
      <x:c r="K73" s="22" t="str">
        <x:f>IF(I73="","",MAX(I73-8,0))</x:f>
      </x:c>
      <x:c r="L73" s="26" t="str">
        <x:f>IF(J73="","",J73*'Настройки'!$B$5)</x:f>
      </x:c>
      <x:c r="M73" s="26" t="str">
        <x:f>IF(K73="","",K73*'Настройки'!$B$6)</x:f>
      </x:c>
      <x:c r="N73" s="22" t="str">
        <x:f>IF(E73="","",MAX(E73-'Настройки'!$B$7,0))</x:f>
      </x:c>
      <x:c r="O73" s="26" t="str">
        <x:f>IF(N73="","",N73*'Настройки'!$B$8)</x:f>
      </x:c>
      <x:c r="P73" s="26" t="str">
        <x:f>IF(L73="","",L73+M73)</x:f>
      </x:c>
      <x:c r="Q73" s="26" t="str">
        <x:f>IF(P73="","",P73+O73)</x:f>
      </x:c>
    </x:row>
    <x:row r="74">
      <x:c r="A74" s="18"/>
      <x:c r="B74" t="str">
        <x:f>IF(A74="","",TEXT(A74,"dddd"))</x:f>
      </x:c>
      <x:c r="C74" s="20"/>
      <x:c r="D74" s="20"/>
      <x:c r="E74" s="22"/>
      <x:c r="F74" s="22"/>
      <x:c r="G74" s="24" t="str">
        <x:f>IF(OR(A74="",C74="",D74=""),"",IF(D74&gt;TIME(8,0,0),'Настройки'!$B$9,0))</x:f>
      </x:c>
      <x:c r="H74" s="24" t="str">
        <x:f>IF(OR(A74="",C74="",D74=""),"",IF(D74&gt;TIME(11,0,0),'Настройки'!$B$10,0))</x:f>
      </x:c>
      <x:c r="I74" s="22" t="str">
        <x:f>IF(OR(A74="",C74="",D74=""),"",MAX(((D74-C74)*24)-((G74+H74)/60),0))</x:f>
      </x:c>
      <x:c r="J74" s="22" t="str">
        <x:f>IF(I74="","",MIN(I74,8))</x:f>
      </x:c>
      <x:c r="K74" s="22" t="str">
        <x:f>IF(I74="","",MAX(I74-8,0))</x:f>
      </x:c>
      <x:c r="L74" s="26" t="str">
        <x:f>IF(J74="","",J74*'Настройки'!$B$5)</x:f>
      </x:c>
      <x:c r="M74" s="26" t="str">
        <x:f>IF(K74="","",K74*'Настройки'!$B$6)</x:f>
      </x:c>
      <x:c r="N74" s="22" t="str">
        <x:f>IF(E74="","",MAX(E74-'Настройки'!$B$7,0))</x:f>
      </x:c>
      <x:c r="O74" s="26" t="str">
        <x:f>IF(N74="","",N74*'Настройки'!$B$8)</x:f>
      </x:c>
      <x:c r="P74" s="26" t="str">
        <x:f>IF(L74="","",L74+M74)</x:f>
      </x:c>
      <x:c r="Q74" s="26" t="str">
        <x:f>IF(P74="","",P74+O74)</x:f>
      </x:c>
    </x:row>
    <x:row r="75">
      <x:c r="A75" s="18"/>
      <x:c r="B75" t="str">
        <x:f>IF(A75="","",TEXT(A75,"dddd"))</x:f>
      </x:c>
      <x:c r="C75" s="20"/>
      <x:c r="D75" s="20"/>
      <x:c r="E75" s="22"/>
      <x:c r="F75" s="22"/>
      <x:c r="G75" s="24" t="str">
        <x:f>IF(OR(A75="",C75="",D75=""),"",IF(D75&gt;TIME(8,0,0),'Настройки'!$B$9,0))</x:f>
      </x:c>
      <x:c r="H75" s="24" t="str">
        <x:f>IF(OR(A75="",C75="",D75=""),"",IF(D75&gt;TIME(11,0,0),'Настройки'!$B$10,0))</x:f>
      </x:c>
      <x:c r="I75" s="22" t="str">
        <x:f>IF(OR(A75="",C75="",D75=""),"",MAX(((D75-C75)*24)-((G75+H75)/60),0))</x:f>
      </x:c>
      <x:c r="J75" s="22" t="str">
        <x:f>IF(I75="","",MIN(I75,8))</x:f>
      </x:c>
      <x:c r="K75" s="22" t="str">
        <x:f>IF(I75="","",MAX(I75-8,0))</x:f>
      </x:c>
      <x:c r="L75" s="26" t="str">
        <x:f>IF(J75="","",J75*'Настройки'!$B$5)</x:f>
      </x:c>
      <x:c r="M75" s="26" t="str">
        <x:f>IF(K75="","",K75*'Настройки'!$B$6)</x:f>
      </x:c>
      <x:c r="N75" s="22" t="str">
        <x:f>IF(E75="","",MAX(E75-'Настройки'!$B$7,0))</x:f>
      </x:c>
      <x:c r="O75" s="26" t="str">
        <x:f>IF(N75="","",N75*'Настройки'!$B$8)</x:f>
      </x:c>
      <x:c r="P75" s="26" t="str">
        <x:f>IF(L75="","",L75+M75)</x:f>
      </x:c>
      <x:c r="Q75" s="26" t="str">
        <x:f>IF(P75="","",P75+O75)</x:f>
      </x:c>
    </x:row>
    <x:row r="76">
      <x:c r="A76" s="18"/>
      <x:c r="B76" t="str">
        <x:f>IF(A76="","",TEXT(A76,"dddd"))</x:f>
      </x:c>
      <x:c r="C76" s="20"/>
      <x:c r="D76" s="20"/>
      <x:c r="E76" s="22"/>
      <x:c r="F76" s="22"/>
      <x:c r="G76" s="24" t="str">
        <x:f>IF(OR(A76="",C76="",D76=""),"",IF(D76&gt;TIME(8,0,0),'Настройки'!$B$9,0))</x:f>
      </x:c>
      <x:c r="H76" s="24" t="str">
        <x:f>IF(OR(A76="",C76="",D76=""),"",IF(D76&gt;TIME(11,0,0),'Настройки'!$B$10,0))</x:f>
      </x:c>
      <x:c r="I76" s="22" t="str">
        <x:f>IF(OR(A76="",C76="",D76=""),"",MAX(((D76-C76)*24)-((G76+H76)/60),0))</x:f>
      </x:c>
      <x:c r="J76" s="22" t="str">
        <x:f>IF(I76="","",MIN(I76,8))</x:f>
      </x:c>
      <x:c r="K76" s="22" t="str">
        <x:f>IF(I76="","",MAX(I76-8,0))</x:f>
      </x:c>
      <x:c r="L76" s="26" t="str">
        <x:f>IF(J76="","",J76*'Настройки'!$B$5)</x:f>
      </x:c>
      <x:c r="M76" s="26" t="str">
        <x:f>IF(K76="","",K76*'Настройки'!$B$6)</x:f>
      </x:c>
      <x:c r="N76" s="22" t="str">
        <x:f>IF(E76="","",MAX(E76-'Настройки'!$B$7,0))</x:f>
      </x:c>
      <x:c r="O76" s="26" t="str">
        <x:f>IF(N76="","",N76*'Настройки'!$B$8)</x:f>
      </x:c>
      <x:c r="P76" s="26" t="str">
        <x:f>IF(L76="","",L76+M76)</x:f>
      </x:c>
      <x:c r="Q76" s="26" t="str">
        <x:f>IF(P76="","",P76+O76)</x:f>
      </x:c>
    </x:row>
    <x:row r="77">
      <x:c r="A77" s="18"/>
      <x:c r="B77" t="str">
        <x:f>IF(A77="","",TEXT(A77,"dddd"))</x:f>
      </x:c>
      <x:c r="C77" s="20"/>
      <x:c r="D77" s="20"/>
      <x:c r="E77" s="22"/>
      <x:c r="F77" s="22"/>
      <x:c r="G77" s="24" t="str">
        <x:f>IF(OR(A77="",C77="",D77=""),"",IF(D77&gt;TIME(8,0,0),'Настройки'!$B$9,0))</x:f>
      </x:c>
      <x:c r="H77" s="24" t="str">
        <x:f>IF(OR(A77="",C77="",D77=""),"",IF(D77&gt;TIME(11,0,0),'Настройки'!$B$10,0))</x:f>
      </x:c>
      <x:c r="I77" s="22" t="str">
        <x:f>IF(OR(A77="",C77="",D77=""),"",MAX(((D77-C77)*24)-((G77+H77)/60),0))</x:f>
      </x:c>
      <x:c r="J77" s="22" t="str">
        <x:f>IF(I77="","",MIN(I77,8))</x:f>
      </x:c>
      <x:c r="K77" s="22" t="str">
        <x:f>IF(I77="","",MAX(I77-8,0))</x:f>
      </x:c>
      <x:c r="L77" s="26" t="str">
        <x:f>IF(J77="","",J77*'Настройки'!$B$5)</x:f>
      </x:c>
      <x:c r="M77" s="26" t="str">
        <x:f>IF(K77="","",K77*'Настройки'!$B$6)</x:f>
      </x:c>
      <x:c r="N77" s="22" t="str">
        <x:f>IF(E77="","",MAX(E77-'Настройки'!$B$7,0))</x:f>
      </x:c>
      <x:c r="O77" s="26" t="str">
        <x:f>IF(N77="","",N77*'Настройки'!$B$8)</x:f>
      </x:c>
      <x:c r="P77" s="26" t="str">
        <x:f>IF(L77="","",L77+M77)</x:f>
      </x:c>
      <x:c r="Q77" s="26" t="str">
        <x:f>IF(P77="","",P77+O77)</x:f>
      </x:c>
    </x:row>
    <x:row r="78">
      <x:c r="A78" s="18"/>
      <x:c r="B78" t="str">
        <x:f>IF(A78="","",TEXT(A78,"dddd"))</x:f>
      </x:c>
      <x:c r="C78" s="20"/>
      <x:c r="D78" s="20"/>
      <x:c r="E78" s="22"/>
      <x:c r="F78" s="22"/>
      <x:c r="G78" s="24" t="str">
        <x:f>IF(OR(A78="",C78="",D78=""),"",IF(D78&gt;TIME(8,0,0),'Настройки'!$B$9,0))</x:f>
      </x:c>
      <x:c r="H78" s="24" t="str">
        <x:f>IF(OR(A78="",C78="",D78=""),"",IF(D78&gt;TIME(11,0,0),'Настройки'!$B$10,0))</x:f>
      </x:c>
      <x:c r="I78" s="22" t="str">
        <x:f>IF(OR(A78="",C78="",D78=""),"",MAX(((D78-C78)*24)-((G78+H78)/60),0))</x:f>
      </x:c>
      <x:c r="J78" s="22" t="str">
        <x:f>IF(I78="","",MIN(I78,8))</x:f>
      </x:c>
      <x:c r="K78" s="22" t="str">
        <x:f>IF(I78="","",MAX(I78-8,0))</x:f>
      </x:c>
      <x:c r="L78" s="26" t="str">
        <x:f>IF(J78="","",J78*'Настройки'!$B$5)</x:f>
      </x:c>
      <x:c r="M78" s="26" t="str">
        <x:f>IF(K78="","",K78*'Настройки'!$B$6)</x:f>
      </x:c>
      <x:c r="N78" s="22" t="str">
        <x:f>IF(E78="","",MAX(E78-'Настройки'!$B$7,0))</x:f>
      </x:c>
      <x:c r="O78" s="26" t="str">
        <x:f>IF(N78="","",N78*'Настройки'!$B$8)</x:f>
      </x:c>
      <x:c r="P78" s="26" t="str">
        <x:f>IF(L78="","",L78+M78)</x:f>
      </x:c>
      <x:c r="Q78" s="26" t="str">
        <x:f>IF(P78="","",P78+O78)</x:f>
      </x:c>
    </x:row>
    <x:row r="79">
      <x:c r="A79" s="18"/>
      <x:c r="B79" t="str">
        <x:f>IF(A79="","",TEXT(A79,"dddd"))</x:f>
      </x:c>
      <x:c r="C79" s="20"/>
      <x:c r="D79" s="20"/>
      <x:c r="E79" s="22"/>
      <x:c r="F79" s="22"/>
      <x:c r="G79" s="24" t="str">
        <x:f>IF(OR(A79="",C79="",D79=""),"",IF(D79&gt;TIME(8,0,0),'Настройки'!$B$9,0))</x:f>
      </x:c>
      <x:c r="H79" s="24" t="str">
        <x:f>IF(OR(A79="",C79="",D79=""),"",IF(D79&gt;TIME(11,0,0),'Настройки'!$B$10,0))</x:f>
      </x:c>
      <x:c r="I79" s="22" t="str">
        <x:f>IF(OR(A79="",C79="",D79=""),"",MAX(((D79-C79)*24)-((G79+H79)/60),0))</x:f>
      </x:c>
      <x:c r="J79" s="22" t="str">
        <x:f>IF(I79="","",MIN(I79,8))</x:f>
      </x:c>
      <x:c r="K79" s="22" t="str">
        <x:f>IF(I79="","",MAX(I79-8,0))</x:f>
      </x:c>
      <x:c r="L79" s="26" t="str">
        <x:f>IF(J79="","",J79*'Настройки'!$B$5)</x:f>
      </x:c>
      <x:c r="M79" s="26" t="str">
        <x:f>IF(K79="","",K79*'Настройки'!$B$6)</x:f>
      </x:c>
      <x:c r="N79" s="22" t="str">
        <x:f>IF(E79="","",MAX(E79-'Настройки'!$B$7,0))</x:f>
      </x:c>
      <x:c r="O79" s="26" t="str">
        <x:f>IF(N79="","",N79*'Настройки'!$B$8)</x:f>
      </x:c>
      <x:c r="P79" s="26" t="str">
        <x:f>IF(L79="","",L79+M79)</x:f>
      </x:c>
      <x:c r="Q79" s="26" t="str">
        <x:f>IF(P79="","",P79+O79)</x:f>
      </x:c>
    </x:row>
    <x:row r="80">
      <x:c r="A80" s="18"/>
      <x:c r="B80" t="str">
        <x:f>IF(A80="","",TEXT(A80,"dddd"))</x:f>
      </x:c>
      <x:c r="C80" s="20"/>
      <x:c r="D80" s="20"/>
      <x:c r="E80" s="22"/>
      <x:c r="F80" s="22"/>
      <x:c r="G80" s="24" t="str">
        <x:f>IF(OR(A80="",C80="",D80=""),"",IF(D80&gt;TIME(8,0,0),'Настройки'!$B$9,0))</x:f>
      </x:c>
      <x:c r="H80" s="24" t="str">
        <x:f>IF(OR(A80="",C80="",D80=""),"",IF(D80&gt;TIME(11,0,0),'Настройки'!$B$10,0))</x:f>
      </x:c>
      <x:c r="I80" s="22" t="str">
        <x:f>IF(OR(A80="",C80="",D80=""),"",MAX(((D80-C80)*24)-((G80+H80)/60),0))</x:f>
      </x:c>
      <x:c r="J80" s="22" t="str">
        <x:f>IF(I80="","",MIN(I80,8))</x:f>
      </x:c>
      <x:c r="K80" s="22" t="str">
        <x:f>IF(I80="","",MAX(I80-8,0))</x:f>
      </x:c>
      <x:c r="L80" s="26" t="str">
        <x:f>IF(J80="","",J80*'Настройки'!$B$5)</x:f>
      </x:c>
      <x:c r="M80" s="26" t="str">
        <x:f>IF(K80="","",K80*'Настройки'!$B$6)</x:f>
      </x:c>
      <x:c r="N80" s="22" t="str">
        <x:f>IF(E80="","",MAX(E80-'Настройки'!$B$7,0))</x:f>
      </x:c>
      <x:c r="O80" s="26" t="str">
        <x:f>IF(N80="","",N80*'Настройки'!$B$8)</x:f>
      </x:c>
      <x:c r="P80" s="26" t="str">
        <x:f>IF(L80="","",L80+M80)</x:f>
      </x:c>
      <x:c r="Q80" s="26" t="str">
        <x:f>IF(P80="","",P80+O80)</x:f>
      </x:c>
    </x:row>
    <x:row r="81">
      <x:c r="A81" s="18"/>
      <x:c r="B81" t="str">
        <x:f>IF(A81="","",TEXT(A81,"dddd"))</x:f>
      </x:c>
      <x:c r="C81" s="20"/>
      <x:c r="D81" s="20"/>
      <x:c r="E81" s="22"/>
      <x:c r="F81" s="22"/>
      <x:c r="G81" s="24" t="str">
        <x:f>IF(OR(A81="",C81="",D81=""),"",IF(D81&gt;TIME(8,0,0),'Настройки'!$B$9,0))</x:f>
      </x:c>
      <x:c r="H81" s="24" t="str">
        <x:f>IF(OR(A81="",C81="",D81=""),"",IF(D81&gt;TIME(11,0,0),'Настройки'!$B$10,0))</x:f>
      </x:c>
      <x:c r="I81" s="22" t="str">
        <x:f>IF(OR(A81="",C81="",D81=""),"",MAX(((D81-C81)*24)-((G81+H81)/60),0))</x:f>
      </x:c>
      <x:c r="J81" s="22" t="str">
        <x:f>IF(I81="","",MIN(I81,8))</x:f>
      </x:c>
      <x:c r="K81" s="22" t="str">
        <x:f>IF(I81="","",MAX(I81-8,0))</x:f>
      </x:c>
      <x:c r="L81" s="26" t="str">
        <x:f>IF(J81="","",J81*'Настройки'!$B$5)</x:f>
      </x:c>
      <x:c r="M81" s="26" t="str">
        <x:f>IF(K81="","",K81*'Настройки'!$B$6)</x:f>
      </x:c>
      <x:c r="N81" s="22" t="str">
        <x:f>IF(E81="","",MAX(E81-'Настройки'!$B$7,0))</x:f>
      </x:c>
      <x:c r="O81" s="26" t="str">
        <x:f>IF(N81="","",N81*'Настройки'!$B$8)</x:f>
      </x:c>
      <x:c r="P81" s="26" t="str">
        <x:f>IF(L81="","",L81+M81)</x:f>
      </x:c>
      <x:c r="Q81" s="26" t="str">
        <x:f>IF(P81="","",P81+O81)</x:f>
      </x:c>
    </x:row>
    <x:row r="82">
      <x:c r="A82" s="18"/>
      <x:c r="B82" t="str">
        <x:f>IF(A82="","",TEXT(A82,"dddd"))</x:f>
      </x:c>
      <x:c r="C82" s="20"/>
      <x:c r="D82" s="20"/>
      <x:c r="E82" s="22"/>
      <x:c r="F82" s="22"/>
      <x:c r="G82" s="24" t="str">
        <x:f>IF(OR(A82="",C82="",D82=""),"",IF(D82&gt;TIME(8,0,0),'Настройки'!$B$9,0))</x:f>
      </x:c>
      <x:c r="H82" s="24" t="str">
        <x:f>IF(OR(A82="",C82="",D82=""),"",IF(D82&gt;TIME(11,0,0),'Настройки'!$B$10,0))</x:f>
      </x:c>
      <x:c r="I82" s="22" t="str">
        <x:f>IF(OR(A82="",C82="",D82=""),"",MAX(((D82-C82)*24)-((G82+H82)/60),0))</x:f>
      </x:c>
      <x:c r="J82" s="22" t="str">
        <x:f>IF(I82="","",MIN(I82,8))</x:f>
      </x:c>
      <x:c r="K82" s="22" t="str">
        <x:f>IF(I82="","",MAX(I82-8,0))</x:f>
      </x:c>
      <x:c r="L82" s="26" t="str">
        <x:f>IF(J82="","",J82*'Настройки'!$B$5)</x:f>
      </x:c>
      <x:c r="M82" s="26" t="str">
        <x:f>IF(K82="","",K82*'Настройки'!$B$6)</x:f>
      </x:c>
      <x:c r="N82" s="22" t="str">
        <x:f>IF(E82="","",MAX(E82-'Настройки'!$B$7,0))</x:f>
      </x:c>
      <x:c r="O82" s="26" t="str">
        <x:f>IF(N82="","",N82*'Настройки'!$B$8)</x:f>
      </x:c>
      <x:c r="P82" s="26" t="str">
        <x:f>IF(L82="","",L82+M82)</x:f>
      </x:c>
      <x:c r="Q82" s="26" t="str">
        <x:f>IF(P82="","",P82+O82)</x:f>
      </x:c>
    </x:row>
    <x:row r="83">
      <x:c r="A83" s="18"/>
      <x:c r="B83" t="str">
        <x:f>IF(A83="","",TEXT(A83,"dddd"))</x:f>
      </x:c>
      <x:c r="C83" s="20"/>
      <x:c r="D83" s="20"/>
      <x:c r="E83" s="22"/>
      <x:c r="F83" s="22"/>
      <x:c r="G83" s="24" t="str">
        <x:f>IF(OR(A83="",C83="",D83=""),"",IF(D83&gt;TIME(8,0,0),'Настройки'!$B$9,0))</x:f>
      </x:c>
      <x:c r="H83" s="24" t="str">
        <x:f>IF(OR(A83="",C83="",D83=""),"",IF(D83&gt;TIME(11,0,0),'Настройки'!$B$10,0))</x:f>
      </x:c>
      <x:c r="I83" s="22" t="str">
        <x:f>IF(OR(A83="",C83="",D83=""),"",MAX(((D83-C83)*24)-((G83+H83)/60),0))</x:f>
      </x:c>
      <x:c r="J83" s="22" t="str">
        <x:f>IF(I83="","",MIN(I83,8))</x:f>
      </x:c>
      <x:c r="K83" s="22" t="str">
        <x:f>IF(I83="","",MAX(I83-8,0))</x:f>
      </x:c>
      <x:c r="L83" s="26" t="str">
        <x:f>IF(J83="","",J83*'Настройки'!$B$5)</x:f>
      </x:c>
      <x:c r="M83" s="26" t="str">
        <x:f>IF(K83="","",K83*'Настройки'!$B$6)</x:f>
      </x:c>
      <x:c r="N83" s="22" t="str">
        <x:f>IF(E83="","",MAX(E83-'Настройки'!$B$7,0))</x:f>
      </x:c>
      <x:c r="O83" s="26" t="str">
        <x:f>IF(N83="","",N83*'Настройки'!$B$8)</x:f>
      </x:c>
      <x:c r="P83" s="26" t="str">
        <x:f>IF(L83="","",L83+M83)</x:f>
      </x:c>
      <x:c r="Q83" s="26" t="str">
        <x:f>IF(P83="","",P83+O83)</x:f>
      </x:c>
    </x:row>
    <x:row r="84">
      <x:c r="A84" s="18"/>
      <x:c r="B84" t="str">
        <x:f>IF(A84="","",TEXT(A84,"dddd"))</x:f>
      </x:c>
      <x:c r="C84" s="20"/>
      <x:c r="D84" s="20"/>
      <x:c r="E84" s="22"/>
      <x:c r="F84" s="22"/>
      <x:c r="G84" s="24" t="str">
        <x:f>IF(OR(A84="",C84="",D84=""),"",IF(D84&gt;TIME(8,0,0),'Настройки'!$B$9,0))</x:f>
      </x:c>
      <x:c r="H84" s="24" t="str">
        <x:f>IF(OR(A84="",C84="",D84=""),"",IF(D84&gt;TIME(11,0,0),'Настройки'!$B$10,0))</x:f>
      </x:c>
      <x:c r="I84" s="22" t="str">
        <x:f>IF(OR(A84="",C84="",D84=""),"",MAX(((D84-C84)*24)-((G84+H84)/60),0))</x:f>
      </x:c>
      <x:c r="J84" s="22" t="str">
        <x:f>IF(I84="","",MIN(I84,8))</x:f>
      </x:c>
      <x:c r="K84" s="22" t="str">
        <x:f>IF(I84="","",MAX(I84-8,0))</x:f>
      </x:c>
      <x:c r="L84" s="26" t="str">
        <x:f>IF(J84="","",J84*'Настройки'!$B$5)</x:f>
      </x:c>
      <x:c r="M84" s="26" t="str">
        <x:f>IF(K84="","",K84*'Настройки'!$B$6)</x:f>
      </x:c>
      <x:c r="N84" s="22" t="str">
        <x:f>IF(E84="","",MAX(E84-'Настройки'!$B$7,0))</x:f>
      </x:c>
      <x:c r="O84" s="26" t="str">
        <x:f>IF(N84="","",N84*'Настройки'!$B$8)</x:f>
      </x:c>
      <x:c r="P84" s="26" t="str">
        <x:f>IF(L84="","",L84+M84)</x:f>
      </x:c>
      <x:c r="Q84" s="26" t="str">
        <x:f>IF(P84="","",P84+O84)</x:f>
      </x:c>
    </x:row>
    <x:row r="85">
      <x:c r="A85" s="18"/>
      <x:c r="B85" t="str">
        <x:f>IF(A85="","",TEXT(A85,"dddd"))</x:f>
      </x:c>
      <x:c r="C85" s="20"/>
      <x:c r="D85" s="20"/>
      <x:c r="E85" s="22"/>
      <x:c r="F85" s="22"/>
      <x:c r="G85" s="24" t="str">
        <x:f>IF(OR(A85="",C85="",D85=""),"",IF(D85&gt;TIME(8,0,0),'Настройки'!$B$9,0))</x:f>
      </x:c>
      <x:c r="H85" s="24" t="str">
        <x:f>IF(OR(A85="",C85="",D85=""),"",IF(D85&gt;TIME(11,0,0),'Настройки'!$B$10,0))</x:f>
      </x:c>
      <x:c r="I85" s="22" t="str">
        <x:f>IF(OR(A85="",C85="",D85=""),"",MAX(((D85-C85)*24)-((G85+H85)/60),0))</x:f>
      </x:c>
      <x:c r="J85" s="22" t="str">
        <x:f>IF(I85="","",MIN(I85,8))</x:f>
      </x:c>
      <x:c r="K85" s="22" t="str">
        <x:f>IF(I85="","",MAX(I85-8,0))</x:f>
      </x:c>
      <x:c r="L85" s="26" t="str">
        <x:f>IF(J85="","",J85*'Настройки'!$B$5)</x:f>
      </x:c>
      <x:c r="M85" s="26" t="str">
        <x:f>IF(K85="","",K85*'Настройки'!$B$6)</x:f>
      </x:c>
      <x:c r="N85" s="22" t="str">
        <x:f>IF(E85="","",MAX(E85-'Настройки'!$B$7,0))</x:f>
      </x:c>
      <x:c r="O85" s="26" t="str">
        <x:f>IF(N85="","",N85*'Настройки'!$B$8)</x:f>
      </x:c>
      <x:c r="P85" s="26" t="str">
        <x:f>IF(L85="","",L85+M85)</x:f>
      </x:c>
      <x:c r="Q85" s="26" t="str">
        <x:f>IF(P85="","",P85+O85)</x:f>
      </x:c>
    </x:row>
    <x:row r="86">
      <x:c r="A86" s="18"/>
      <x:c r="B86" t="str">
        <x:f>IF(A86="","",TEXT(A86,"dddd"))</x:f>
      </x:c>
      <x:c r="C86" s="20"/>
      <x:c r="D86" s="20"/>
      <x:c r="E86" s="22"/>
      <x:c r="F86" s="22"/>
      <x:c r="G86" s="24" t="str">
        <x:f>IF(OR(A86="",C86="",D86=""),"",IF(D86&gt;TIME(8,0,0),'Настройки'!$B$9,0))</x:f>
      </x:c>
      <x:c r="H86" s="24" t="str">
        <x:f>IF(OR(A86="",C86="",D86=""),"",IF(D86&gt;TIME(11,0,0),'Настройки'!$B$10,0))</x:f>
      </x:c>
      <x:c r="I86" s="22" t="str">
        <x:f>IF(OR(A86="",C86="",D86=""),"",MAX(((D86-C86)*24)-((G86+H86)/60),0))</x:f>
      </x:c>
      <x:c r="J86" s="22" t="str">
        <x:f>IF(I86="","",MIN(I86,8))</x:f>
      </x:c>
      <x:c r="K86" s="22" t="str">
        <x:f>IF(I86="","",MAX(I86-8,0))</x:f>
      </x:c>
      <x:c r="L86" s="26" t="str">
        <x:f>IF(J86="","",J86*'Настройки'!$B$5)</x:f>
      </x:c>
      <x:c r="M86" s="26" t="str">
        <x:f>IF(K86="","",K86*'Настройки'!$B$6)</x:f>
      </x:c>
      <x:c r="N86" s="22" t="str">
        <x:f>IF(E86="","",MAX(E86-'Настройки'!$B$7,0))</x:f>
      </x:c>
      <x:c r="O86" s="26" t="str">
        <x:f>IF(N86="","",N86*'Настройки'!$B$8)</x:f>
      </x:c>
      <x:c r="P86" s="26" t="str">
        <x:f>IF(L86="","",L86+M86)</x:f>
      </x:c>
      <x:c r="Q86" s="26" t="str">
        <x:f>IF(P86="","",P86+O86)</x:f>
      </x:c>
    </x:row>
    <x:row r="87">
      <x:c r="A87" s="18"/>
      <x:c r="B87" t="str">
        <x:f>IF(A87="","",TEXT(A87,"dddd"))</x:f>
      </x:c>
      <x:c r="C87" s="20"/>
      <x:c r="D87" s="20"/>
      <x:c r="E87" s="22"/>
      <x:c r="F87" s="22"/>
      <x:c r="G87" s="24" t="str">
        <x:f>IF(OR(A87="",C87="",D87=""),"",IF(D87&gt;TIME(8,0,0),'Настройки'!$B$9,0))</x:f>
      </x:c>
      <x:c r="H87" s="24" t="str">
        <x:f>IF(OR(A87="",C87="",D87=""),"",IF(D87&gt;TIME(11,0,0),'Настройки'!$B$10,0))</x:f>
      </x:c>
      <x:c r="I87" s="22" t="str">
        <x:f>IF(OR(A87="",C87="",D87=""),"",MAX(((D87-C87)*24)-((G87+H87)/60),0))</x:f>
      </x:c>
      <x:c r="J87" s="22" t="str">
        <x:f>IF(I87="","",MIN(I87,8))</x:f>
      </x:c>
      <x:c r="K87" s="22" t="str">
        <x:f>IF(I87="","",MAX(I87-8,0))</x:f>
      </x:c>
      <x:c r="L87" s="26" t="str">
        <x:f>IF(J87="","",J87*'Настройки'!$B$5)</x:f>
      </x:c>
      <x:c r="M87" s="26" t="str">
        <x:f>IF(K87="","",K87*'Настройки'!$B$6)</x:f>
      </x:c>
      <x:c r="N87" s="22" t="str">
        <x:f>IF(E87="","",MAX(E87-'Настройки'!$B$7,0))</x:f>
      </x:c>
      <x:c r="O87" s="26" t="str">
        <x:f>IF(N87="","",N87*'Настройки'!$B$8)</x:f>
      </x:c>
      <x:c r="P87" s="26" t="str">
        <x:f>IF(L87="","",L87+M87)</x:f>
      </x:c>
      <x:c r="Q87" s="26" t="str">
        <x:f>IF(P87="","",P87+O87)</x:f>
      </x:c>
    </x:row>
    <x:row r="88">
      <x:c r="A88" s="18"/>
      <x:c r="B88" t="str">
        <x:f>IF(A88="","",TEXT(A88,"dddd"))</x:f>
      </x:c>
      <x:c r="C88" s="20"/>
      <x:c r="D88" s="20"/>
      <x:c r="E88" s="22"/>
      <x:c r="F88" s="22"/>
      <x:c r="G88" s="24" t="str">
        <x:f>IF(OR(A88="",C88="",D88=""),"",IF(D88&gt;TIME(8,0,0),'Настройки'!$B$9,0))</x:f>
      </x:c>
      <x:c r="H88" s="24" t="str">
        <x:f>IF(OR(A88="",C88="",D88=""),"",IF(D88&gt;TIME(11,0,0),'Настройки'!$B$10,0))</x:f>
      </x:c>
      <x:c r="I88" s="22" t="str">
        <x:f>IF(OR(A88="",C88="",D88=""),"",MAX(((D88-C88)*24)-((G88+H88)/60),0))</x:f>
      </x:c>
      <x:c r="J88" s="22" t="str">
        <x:f>IF(I88="","",MIN(I88,8))</x:f>
      </x:c>
      <x:c r="K88" s="22" t="str">
        <x:f>IF(I88="","",MAX(I88-8,0))</x:f>
      </x:c>
      <x:c r="L88" s="26" t="str">
        <x:f>IF(J88="","",J88*'Настройки'!$B$5)</x:f>
      </x:c>
      <x:c r="M88" s="26" t="str">
        <x:f>IF(K88="","",K88*'Настройки'!$B$6)</x:f>
      </x:c>
      <x:c r="N88" s="22" t="str">
        <x:f>IF(E88="","",MAX(E88-'Настройки'!$B$7,0))</x:f>
      </x:c>
      <x:c r="O88" s="26" t="str">
        <x:f>IF(N88="","",N88*'Настройки'!$B$8)</x:f>
      </x:c>
      <x:c r="P88" s="26" t="str">
        <x:f>IF(L88="","",L88+M88)</x:f>
      </x:c>
      <x:c r="Q88" s="26" t="str">
        <x:f>IF(P88="","",P88+O88)</x:f>
      </x:c>
    </x:row>
    <x:row r="89">
      <x:c r="A89" s="18"/>
      <x:c r="B89" t="str">
        <x:f>IF(A89="","",TEXT(A89,"dddd"))</x:f>
      </x:c>
      <x:c r="C89" s="20"/>
      <x:c r="D89" s="20"/>
      <x:c r="E89" s="22"/>
      <x:c r="F89" s="22"/>
      <x:c r="G89" s="24" t="str">
        <x:f>IF(OR(A89="",C89="",D89=""),"",IF(D89&gt;TIME(8,0,0),'Настройки'!$B$9,0))</x:f>
      </x:c>
      <x:c r="H89" s="24" t="str">
        <x:f>IF(OR(A89="",C89="",D89=""),"",IF(D89&gt;TIME(11,0,0),'Настройки'!$B$10,0))</x:f>
      </x:c>
      <x:c r="I89" s="22" t="str">
        <x:f>IF(OR(A89="",C89="",D89=""),"",MAX(((D89-C89)*24)-((G89+H89)/60),0))</x:f>
      </x:c>
      <x:c r="J89" s="22" t="str">
        <x:f>IF(I89="","",MIN(I89,8))</x:f>
      </x:c>
      <x:c r="K89" s="22" t="str">
        <x:f>IF(I89="","",MAX(I89-8,0))</x:f>
      </x:c>
      <x:c r="L89" s="26" t="str">
        <x:f>IF(J89="","",J89*'Настройки'!$B$5)</x:f>
      </x:c>
      <x:c r="M89" s="26" t="str">
        <x:f>IF(K89="","",K89*'Настройки'!$B$6)</x:f>
      </x:c>
      <x:c r="N89" s="22" t="str">
        <x:f>IF(E89="","",MAX(E89-'Настройки'!$B$7,0))</x:f>
      </x:c>
      <x:c r="O89" s="26" t="str">
        <x:f>IF(N89="","",N89*'Настройки'!$B$8)</x:f>
      </x:c>
      <x:c r="P89" s="26" t="str">
        <x:f>IF(L89="","",L89+M89)</x:f>
      </x:c>
      <x:c r="Q89" s="26" t="str">
        <x:f>IF(P89="","",P89+O89)</x:f>
      </x:c>
    </x:row>
    <x:row r="90">
      <x:c r="A90" s="18"/>
      <x:c r="B90" t="str">
        <x:f>IF(A90="","",TEXT(A90,"dddd"))</x:f>
      </x:c>
      <x:c r="C90" s="20"/>
      <x:c r="D90" s="20"/>
      <x:c r="E90" s="22"/>
      <x:c r="F90" s="22"/>
      <x:c r="G90" s="24" t="str">
        <x:f>IF(OR(A90="",C90="",D90=""),"",IF(D90&gt;TIME(8,0,0),'Настройки'!$B$9,0))</x:f>
      </x:c>
      <x:c r="H90" s="24" t="str">
        <x:f>IF(OR(A90="",C90="",D90=""),"",IF(D90&gt;TIME(11,0,0),'Настройки'!$B$10,0))</x:f>
      </x:c>
      <x:c r="I90" s="22" t="str">
        <x:f>IF(OR(A90="",C90="",D90=""),"",MAX(((D90-C90)*24)-((G90+H90)/60),0))</x:f>
      </x:c>
      <x:c r="J90" s="22" t="str">
        <x:f>IF(I90="","",MIN(I90,8))</x:f>
      </x:c>
      <x:c r="K90" s="22" t="str">
        <x:f>IF(I90="","",MAX(I90-8,0))</x:f>
      </x:c>
      <x:c r="L90" s="26" t="str">
        <x:f>IF(J90="","",J90*'Настройки'!$B$5)</x:f>
      </x:c>
      <x:c r="M90" s="26" t="str">
        <x:f>IF(K90="","",K90*'Настройки'!$B$6)</x:f>
      </x:c>
      <x:c r="N90" s="22" t="str">
        <x:f>IF(E90="","",MAX(E90-'Настройки'!$B$7,0))</x:f>
      </x:c>
      <x:c r="O90" s="26" t="str">
        <x:f>IF(N90="","",N90*'Настройки'!$B$8)</x:f>
      </x:c>
      <x:c r="P90" s="26" t="str">
        <x:f>IF(L90="","",L90+M90)</x:f>
      </x:c>
      <x:c r="Q90" s="26" t="str">
        <x:f>IF(P90="","",P90+O90)</x:f>
      </x:c>
    </x:row>
    <x:row r="91">
      <x:c r="A91" s="18"/>
      <x:c r="B91" t="str">
        <x:f>IF(A91="","",TEXT(A91,"dddd"))</x:f>
      </x:c>
      <x:c r="C91" s="20"/>
      <x:c r="D91" s="20"/>
      <x:c r="E91" s="22"/>
      <x:c r="F91" s="22"/>
      <x:c r="G91" s="24" t="str">
        <x:f>IF(OR(A91="",C91="",D91=""),"",IF(D91&gt;TIME(8,0,0),'Настройки'!$B$9,0))</x:f>
      </x:c>
      <x:c r="H91" s="24" t="str">
        <x:f>IF(OR(A91="",C91="",D91=""),"",IF(D91&gt;TIME(11,0,0),'Настройки'!$B$10,0))</x:f>
      </x:c>
      <x:c r="I91" s="22" t="str">
        <x:f>IF(OR(A91="",C91="",D91=""),"",MAX(((D91-C91)*24)-((G91+H91)/60),0))</x:f>
      </x:c>
      <x:c r="J91" s="22" t="str">
        <x:f>IF(I91="","",MIN(I91,8))</x:f>
      </x:c>
      <x:c r="K91" s="22" t="str">
        <x:f>IF(I91="","",MAX(I91-8,0))</x:f>
      </x:c>
      <x:c r="L91" s="26" t="str">
        <x:f>IF(J91="","",J91*'Настройки'!$B$5)</x:f>
      </x:c>
      <x:c r="M91" s="26" t="str">
        <x:f>IF(K91="","",K91*'Настройки'!$B$6)</x:f>
      </x:c>
      <x:c r="N91" s="22" t="str">
        <x:f>IF(E91="","",MAX(E91-'Настройки'!$B$7,0))</x:f>
      </x:c>
      <x:c r="O91" s="26" t="str">
        <x:f>IF(N91="","",N91*'Настройки'!$B$8)</x:f>
      </x:c>
      <x:c r="P91" s="26" t="str">
        <x:f>IF(L91="","",L91+M91)</x:f>
      </x:c>
      <x:c r="Q91" s="26" t="str">
        <x:f>IF(P91="","",P91+O91)</x:f>
      </x:c>
    </x:row>
    <x:row r="92">
      <x:c r="A92" s="18"/>
      <x:c r="B92" t="str">
        <x:f>IF(A92="","",TEXT(A92,"dddd"))</x:f>
      </x:c>
      <x:c r="C92" s="20"/>
      <x:c r="D92" s="20"/>
      <x:c r="E92" s="22"/>
      <x:c r="F92" s="22"/>
      <x:c r="G92" s="24" t="str">
        <x:f>IF(OR(A92="",C92="",D92=""),"",IF(D92&gt;TIME(8,0,0),'Настройки'!$B$9,0))</x:f>
      </x:c>
      <x:c r="H92" s="24" t="str">
        <x:f>IF(OR(A92="",C92="",D92=""),"",IF(D92&gt;TIME(11,0,0),'Настройки'!$B$10,0))</x:f>
      </x:c>
      <x:c r="I92" s="22" t="str">
        <x:f>IF(OR(A92="",C92="",D92=""),"",MAX(((D92-C92)*24)-((G92+H92)/60),0))</x:f>
      </x:c>
      <x:c r="J92" s="22" t="str">
        <x:f>IF(I92="","",MIN(I92,8))</x:f>
      </x:c>
      <x:c r="K92" s="22" t="str">
        <x:f>IF(I92="","",MAX(I92-8,0))</x:f>
      </x:c>
      <x:c r="L92" s="26" t="str">
        <x:f>IF(J92="","",J92*'Настройки'!$B$5)</x:f>
      </x:c>
      <x:c r="M92" s="26" t="str">
        <x:f>IF(K92="","",K92*'Настройки'!$B$6)</x:f>
      </x:c>
      <x:c r="N92" s="22" t="str">
        <x:f>IF(E92="","",MAX(E92-'Настройки'!$B$7,0))</x:f>
      </x:c>
      <x:c r="O92" s="26" t="str">
        <x:f>IF(N92="","",N92*'Настройки'!$B$8)</x:f>
      </x:c>
      <x:c r="P92" s="26" t="str">
        <x:f>IF(L92="","",L92+M92)</x:f>
      </x:c>
      <x:c r="Q92" s="26" t="str">
        <x:f>IF(P92="","",P92+O92)</x:f>
      </x:c>
    </x:row>
    <x:row r="93">
      <x:c r="A93" s="18"/>
      <x:c r="B93" t="str">
        <x:f>IF(A93="","",TEXT(A93,"dddd"))</x:f>
      </x:c>
      <x:c r="C93" s="20"/>
      <x:c r="D93" s="20"/>
      <x:c r="E93" s="22"/>
      <x:c r="F93" s="22"/>
      <x:c r="G93" s="24" t="str">
        <x:f>IF(OR(A93="",C93="",D93=""),"",IF(D93&gt;TIME(8,0,0),'Настройки'!$B$9,0))</x:f>
      </x:c>
      <x:c r="H93" s="24" t="str">
        <x:f>IF(OR(A93="",C93="",D93=""),"",IF(D93&gt;TIME(11,0,0),'Настройки'!$B$10,0))</x:f>
      </x:c>
      <x:c r="I93" s="22" t="str">
        <x:f>IF(OR(A93="",C93="",D93=""),"",MAX(((D93-C93)*24)-((G93+H93)/60),0))</x:f>
      </x:c>
      <x:c r="J93" s="22" t="str">
        <x:f>IF(I93="","",MIN(I93,8))</x:f>
      </x:c>
      <x:c r="K93" s="22" t="str">
        <x:f>IF(I93="","",MAX(I93-8,0))</x:f>
      </x:c>
      <x:c r="L93" s="26" t="str">
        <x:f>IF(J93="","",J93*'Настройки'!$B$5)</x:f>
      </x:c>
      <x:c r="M93" s="26" t="str">
        <x:f>IF(K93="","",K93*'Настройки'!$B$6)</x:f>
      </x:c>
      <x:c r="N93" s="22" t="str">
        <x:f>IF(E93="","",MAX(E93-'Настройки'!$B$7,0))</x:f>
      </x:c>
      <x:c r="O93" s="26" t="str">
        <x:f>IF(N93="","",N93*'Настройки'!$B$8)</x:f>
      </x:c>
      <x:c r="P93" s="26" t="str">
        <x:f>IF(L93="","",L93+M93)</x:f>
      </x:c>
      <x:c r="Q93" s="26" t="str">
        <x:f>IF(P93="","",P93+O93)</x:f>
      </x:c>
    </x:row>
    <x:row r="94">
      <x:c r="A94" s="18"/>
      <x:c r="B94" t="str">
        <x:f>IF(A94="","",TEXT(A94,"dddd"))</x:f>
      </x:c>
      <x:c r="C94" s="20"/>
      <x:c r="D94" s="20"/>
      <x:c r="E94" s="22"/>
      <x:c r="F94" s="22"/>
      <x:c r="G94" s="24" t="str">
        <x:f>IF(OR(A94="",C94="",D94=""),"",IF(D94&gt;TIME(8,0,0),'Настройки'!$B$9,0))</x:f>
      </x:c>
      <x:c r="H94" s="24" t="str">
        <x:f>IF(OR(A94="",C94="",D94=""),"",IF(D94&gt;TIME(11,0,0),'Настройки'!$B$10,0))</x:f>
      </x:c>
      <x:c r="I94" s="22" t="str">
        <x:f>IF(OR(A94="",C94="",D94=""),"",MAX(((D94-C94)*24)-((G94+H94)/60),0))</x:f>
      </x:c>
      <x:c r="J94" s="22" t="str">
        <x:f>IF(I94="","",MIN(I94,8))</x:f>
      </x:c>
      <x:c r="K94" s="22" t="str">
        <x:f>IF(I94="","",MAX(I94-8,0))</x:f>
      </x:c>
      <x:c r="L94" s="26" t="str">
        <x:f>IF(J94="","",J94*'Настройки'!$B$5)</x:f>
      </x:c>
      <x:c r="M94" s="26" t="str">
        <x:f>IF(K94="","",K94*'Настройки'!$B$6)</x:f>
      </x:c>
      <x:c r="N94" s="22" t="str">
        <x:f>IF(E94="","",MAX(E94-'Настройки'!$B$7,0))</x:f>
      </x:c>
      <x:c r="O94" s="26" t="str">
        <x:f>IF(N94="","",N94*'Настройки'!$B$8)</x:f>
      </x:c>
      <x:c r="P94" s="26" t="str">
        <x:f>IF(L94="","",L94+M94)</x:f>
      </x:c>
      <x:c r="Q94" s="26" t="str">
        <x:f>IF(P94="","",P94+O94)</x:f>
      </x:c>
    </x:row>
    <x:row r="95">
      <x:c r="A95" s="18"/>
      <x:c r="B95" t="str">
        <x:f>IF(A95="","",TEXT(A95,"dddd"))</x:f>
      </x:c>
      <x:c r="C95" s="20"/>
      <x:c r="D95" s="20"/>
      <x:c r="E95" s="22"/>
      <x:c r="F95" s="22"/>
      <x:c r="G95" s="24" t="str">
        <x:f>IF(OR(A95="",C95="",D95=""),"",IF(D95&gt;TIME(8,0,0),'Настройки'!$B$9,0))</x:f>
      </x:c>
      <x:c r="H95" s="24" t="str">
        <x:f>IF(OR(A95="",C95="",D95=""),"",IF(D95&gt;TIME(11,0,0),'Настройки'!$B$10,0))</x:f>
      </x:c>
      <x:c r="I95" s="22" t="str">
        <x:f>IF(OR(A95="",C95="",D95=""),"",MAX(((D95-C95)*24)-((G95+H95)/60),0))</x:f>
      </x:c>
      <x:c r="J95" s="22" t="str">
        <x:f>IF(I95="","",MIN(I95,8))</x:f>
      </x:c>
      <x:c r="K95" s="22" t="str">
        <x:f>IF(I95="","",MAX(I95-8,0))</x:f>
      </x:c>
      <x:c r="L95" s="26" t="str">
        <x:f>IF(J95="","",J95*'Настройки'!$B$5)</x:f>
      </x:c>
      <x:c r="M95" s="26" t="str">
        <x:f>IF(K95="","",K95*'Настройки'!$B$6)</x:f>
      </x:c>
      <x:c r="N95" s="22" t="str">
        <x:f>IF(E95="","",MAX(E95-'Настройки'!$B$7,0))</x:f>
      </x:c>
      <x:c r="O95" s="26" t="str">
        <x:f>IF(N95="","",N95*'Настройки'!$B$8)</x:f>
      </x:c>
      <x:c r="P95" s="26" t="str">
        <x:f>IF(L95="","",L95+M95)</x:f>
      </x:c>
      <x:c r="Q95" s="26" t="str">
        <x:f>IF(P95="","",P95+O95)</x:f>
      </x:c>
    </x:row>
    <x:row r="96">
      <x:c r="A96" s="18"/>
      <x:c r="B96" t="str">
        <x:f>IF(A96="","",TEXT(A96,"dddd"))</x:f>
      </x:c>
      <x:c r="C96" s="20"/>
      <x:c r="D96" s="20"/>
      <x:c r="E96" s="22"/>
      <x:c r="F96" s="22"/>
      <x:c r="G96" s="24" t="str">
        <x:f>IF(OR(A96="",C96="",D96=""),"",IF(D96&gt;TIME(8,0,0),'Настройки'!$B$9,0))</x:f>
      </x:c>
      <x:c r="H96" s="24" t="str">
        <x:f>IF(OR(A96="",C96="",D96=""),"",IF(D96&gt;TIME(11,0,0),'Настройки'!$B$10,0))</x:f>
      </x:c>
      <x:c r="I96" s="22" t="str">
        <x:f>IF(OR(A96="",C96="",D96=""),"",MAX(((D96-C96)*24)-((G96+H96)/60),0))</x:f>
      </x:c>
      <x:c r="J96" s="22" t="str">
        <x:f>IF(I96="","",MIN(I96,8))</x:f>
      </x:c>
      <x:c r="K96" s="22" t="str">
        <x:f>IF(I96="","",MAX(I96-8,0))</x:f>
      </x:c>
      <x:c r="L96" s="26" t="str">
        <x:f>IF(J96="","",J96*'Настройки'!$B$5)</x:f>
      </x:c>
      <x:c r="M96" s="26" t="str">
        <x:f>IF(K96="","",K96*'Настройки'!$B$6)</x:f>
      </x:c>
      <x:c r="N96" s="22" t="str">
        <x:f>IF(E96="","",MAX(E96-'Настройки'!$B$7,0))</x:f>
      </x:c>
      <x:c r="O96" s="26" t="str">
        <x:f>IF(N96="","",N96*'Настройки'!$B$8)</x:f>
      </x:c>
      <x:c r="P96" s="26" t="str">
        <x:f>IF(L96="","",L96+M96)</x:f>
      </x:c>
      <x:c r="Q96" s="26" t="str">
        <x:f>IF(P96="","",P96+O96)</x:f>
      </x:c>
    </x:row>
    <x:row r="97">
      <x:c r="A97" s="18"/>
      <x:c r="B97" t="str">
        <x:f>IF(A97="","",TEXT(A97,"dddd"))</x:f>
      </x:c>
      <x:c r="C97" s="20"/>
      <x:c r="D97" s="20"/>
      <x:c r="E97" s="22"/>
      <x:c r="F97" s="22"/>
      <x:c r="G97" s="24" t="str">
        <x:f>IF(OR(A97="",C97="",D97=""),"",IF(D97&gt;TIME(8,0,0),'Настройки'!$B$9,0))</x:f>
      </x:c>
      <x:c r="H97" s="24" t="str">
        <x:f>IF(OR(A97="",C97="",D97=""),"",IF(D97&gt;TIME(11,0,0),'Настройки'!$B$10,0))</x:f>
      </x:c>
      <x:c r="I97" s="22" t="str">
        <x:f>IF(OR(A97="",C97="",D97=""),"",MAX(((D97-C97)*24)-((G97+H97)/60),0))</x:f>
      </x:c>
      <x:c r="J97" s="22" t="str">
        <x:f>IF(I97="","",MIN(I97,8))</x:f>
      </x:c>
      <x:c r="K97" s="22" t="str">
        <x:f>IF(I97="","",MAX(I97-8,0))</x:f>
      </x:c>
      <x:c r="L97" s="26" t="str">
        <x:f>IF(J97="","",J97*'Настройки'!$B$5)</x:f>
      </x:c>
      <x:c r="M97" s="26" t="str">
        <x:f>IF(K97="","",K97*'Настройки'!$B$6)</x:f>
      </x:c>
      <x:c r="N97" s="22" t="str">
        <x:f>IF(E97="","",MAX(E97-'Настройки'!$B$7,0))</x:f>
      </x:c>
      <x:c r="O97" s="26" t="str">
        <x:f>IF(N97="","",N97*'Настройки'!$B$8)</x:f>
      </x:c>
      <x:c r="P97" s="26" t="str">
        <x:f>IF(L97="","",L97+M97)</x:f>
      </x:c>
      <x:c r="Q97" s="26" t="str">
        <x:f>IF(P97="","",P97+O97)</x:f>
      </x:c>
    </x:row>
    <x:row r="98">
      <x:c r="A98" s="18"/>
      <x:c r="B98" t="str">
        <x:f>IF(A98="","",TEXT(A98,"dddd"))</x:f>
      </x:c>
      <x:c r="C98" s="20"/>
      <x:c r="D98" s="20"/>
      <x:c r="E98" s="22"/>
      <x:c r="F98" s="22"/>
      <x:c r="G98" s="24" t="str">
        <x:f>IF(OR(A98="",C98="",D98=""),"",IF(D98&gt;TIME(8,0,0),'Настройки'!$B$9,0))</x:f>
      </x:c>
      <x:c r="H98" s="24" t="str">
        <x:f>IF(OR(A98="",C98="",D98=""),"",IF(D98&gt;TIME(11,0,0),'Настройки'!$B$10,0))</x:f>
      </x:c>
      <x:c r="I98" s="22" t="str">
        <x:f>IF(OR(A98="",C98="",D98=""),"",MAX(((D98-C98)*24)-((G98+H98)/60),0))</x:f>
      </x:c>
      <x:c r="J98" s="22" t="str">
        <x:f>IF(I98="","",MIN(I98,8))</x:f>
      </x:c>
      <x:c r="K98" s="22" t="str">
        <x:f>IF(I98="","",MAX(I98-8,0))</x:f>
      </x:c>
      <x:c r="L98" s="26" t="str">
        <x:f>IF(J98="","",J98*'Настройки'!$B$5)</x:f>
      </x:c>
      <x:c r="M98" s="26" t="str">
        <x:f>IF(K98="","",K98*'Настройки'!$B$6)</x:f>
      </x:c>
      <x:c r="N98" s="22" t="str">
        <x:f>IF(E98="","",MAX(E98-'Настройки'!$B$7,0))</x:f>
      </x:c>
      <x:c r="O98" s="26" t="str">
        <x:f>IF(N98="","",N98*'Настройки'!$B$8)</x:f>
      </x:c>
      <x:c r="P98" s="26" t="str">
        <x:f>IF(L98="","",L98+M98)</x:f>
      </x:c>
      <x:c r="Q98" s="26" t="str">
        <x:f>IF(P98="","",P98+O98)</x:f>
      </x:c>
    </x:row>
    <x:row r="99">
      <x:c r="A99" s="18"/>
      <x:c r="B99" t="str">
        <x:f>IF(A99="","",TEXT(A99,"dddd"))</x:f>
      </x:c>
      <x:c r="C99" s="20"/>
      <x:c r="D99" s="20"/>
      <x:c r="E99" s="22"/>
      <x:c r="F99" s="22"/>
      <x:c r="G99" s="24" t="str">
        <x:f>IF(OR(A99="",C99="",D99=""),"",IF(D99&gt;TIME(8,0,0),'Настройки'!$B$9,0))</x:f>
      </x:c>
      <x:c r="H99" s="24" t="str">
        <x:f>IF(OR(A99="",C99="",D99=""),"",IF(D99&gt;TIME(11,0,0),'Настройки'!$B$10,0))</x:f>
      </x:c>
      <x:c r="I99" s="22" t="str">
        <x:f>IF(OR(A99="",C99="",D99=""),"",MAX(((D99-C99)*24)-((G99+H99)/60),0))</x:f>
      </x:c>
      <x:c r="J99" s="22" t="str">
        <x:f>IF(I99="","",MIN(I99,8))</x:f>
      </x:c>
      <x:c r="K99" s="22" t="str">
        <x:f>IF(I99="","",MAX(I99-8,0))</x:f>
      </x:c>
      <x:c r="L99" s="26" t="str">
        <x:f>IF(J99="","",J99*'Настройки'!$B$5)</x:f>
      </x:c>
      <x:c r="M99" s="26" t="str">
        <x:f>IF(K99="","",K99*'Настройки'!$B$6)</x:f>
      </x:c>
      <x:c r="N99" s="22" t="str">
        <x:f>IF(E99="","",MAX(E99-'Настройки'!$B$7,0))</x:f>
      </x:c>
      <x:c r="O99" s="26" t="str">
        <x:f>IF(N99="","",N99*'Настройки'!$B$8)</x:f>
      </x:c>
      <x:c r="P99" s="26" t="str">
        <x:f>IF(L99="","",L99+M99)</x:f>
      </x:c>
      <x:c r="Q99" s="26" t="str">
        <x:f>IF(P99="","",P99+O99)</x:f>
      </x:c>
    </x:row>
    <x:row r="100">
      <x:c r="A100" s="18"/>
      <x:c r="B100" t="str">
        <x:f>IF(A100="","",TEXT(A100,"dddd"))</x:f>
      </x:c>
      <x:c r="C100" s="20"/>
      <x:c r="D100" s="20"/>
      <x:c r="E100" s="22"/>
      <x:c r="F100" s="22"/>
      <x:c r="G100" s="24" t="str">
        <x:f>IF(OR(A100="",C100="",D100=""),"",IF(D100&gt;TIME(8,0,0),'Настройки'!$B$9,0))</x:f>
      </x:c>
      <x:c r="H100" s="24" t="str">
        <x:f>IF(OR(A100="",C100="",D100=""),"",IF(D100&gt;TIME(11,0,0),'Настройки'!$B$10,0))</x:f>
      </x:c>
      <x:c r="I100" s="22" t="str">
        <x:f>IF(OR(A100="",C100="",D100=""),"",MAX(((D100-C100)*24)-((G100+H100)/60),0))</x:f>
      </x:c>
      <x:c r="J100" s="22" t="str">
        <x:f>IF(I100="","",MIN(I100,8))</x:f>
      </x:c>
      <x:c r="K100" s="22" t="str">
        <x:f>IF(I100="","",MAX(I100-8,0))</x:f>
      </x:c>
      <x:c r="L100" s="26" t="str">
        <x:f>IF(J100="","",J100*'Настройки'!$B$5)</x:f>
      </x:c>
      <x:c r="M100" s="26" t="str">
        <x:f>IF(K100="","",K100*'Настройки'!$B$6)</x:f>
      </x:c>
      <x:c r="N100" s="22" t="str">
        <x:f>IF(E100="","",MAX(E100-'Настройки'!$B$7,0))</x:f>
      </x:c>
      <x:c r="O100" s="26" t="str">
        <x:f>IF(N100="","",N100*'Настройки'!$B$8)</x:f>
      </x:c>
      <x:c r="P100" s="26" t="str">
        <x:f>IF(L100="","",L100+M100)</x:f>
      </x:c>
      <x:c r="Q100" s="26" t="str">
        <x:f>IF(P100="","",P100+O100)</x:f>
      </x:c>
    </x:row>
    <x:row r="101">
      <x:c r="A101" s="18"/>
      <x:c r="B101" t="str">
        <x:f>IF(A101="","",TEXT(A101,"dddd"))</x:f>
      </x:c>
      <x:c r="C101" s="20"/>
      <x:c r="D101" s="20"/>
      <x:c r="E101" s="22"/>
      <x:c r="F101" s="22"/>
      <x:c r="G101" s="24" t="str">
        <x:f>IF(OR(A101="",C101="",D101=""),"",IF(D101&gt;TIME(8,0,0),'Настройки'!$B$9,0))</x:f>
      </x:c>
      <x:c r="H101" s="24" t="str">
        <x:f>IF(OR(A101="",C101="",D101=""),"",IF(D101&gt;TIME(11,0,0),'Настройки'!$B$10,0))</x:f>
      </x:c>
      <x:c r="I101" s="22" t="str">
        <x:f>IF(OR(A101="",C101="",D101=""),"",MAX(((D101-C101)*24)-((G101+H101)/60),0))</x:f>
      </x:c>
      <x:c r="J101" s="22" t="str">
        <x:f>IF(I101="","",MIN(I101,8))</x:f>
      </x:c>
      <x:c r="K101" s="22" t="str">
        <x:f>IF(I101="","",MAX(I101-8,0))</x:f>
      </x:c>
      <x:c r="L101" s="26" t="str">
        <x:f>IF(J101="","",J101*'Настройки'!$B$5)</x:f>
      </x:c>
      <x:c r="M101" s="26" t="str">
        <x:f>IF(K101="","",K101*'Настройки'!$B$6)</x:f>
      </x:c>
      <x:c r="N101" s="22" t="str">
        <x:f>IF(E101="","",MAX(E101-'Настройки'!$B$7,0))</x:f>
      </x:c>
      <x:c r="O101" s="26" t="str">
        <x:f>IF(N101="","",N101*'Настройки'!$B$8)</x:f>
      </x:c>
      <x:c r="P101" s="26" t="str">
        <x:f>IF(L101="","",L101+M101)</x:f>
      </x:c>
      <x:c r="Q101" s="26" t="str">
        <x:f>IF(P101="","",P101+O101)</x:f>
      </x:c>
    </x:row>
    <x:row r="102">
      <x:c r="A102" s="18"/>
      <x:c r="B102" t="str">
        <x:f>IF(A102="","",TEXT(A102,"dddd"))</x:f>
      </x:c>
      <x:c r="C102" s="20"/>
      <x:c r="D102" s="20"/>
      <x:c r="E102" s="22"/>
      <x:c r="F102" s="22"/>
      <x:c r="G102" s="24" t="str">
        <x:f>IF(OR(A102="",C102="",D102=""),"",IF(D102&gt;TIME(8,0,0),'Настройки'!$B$9,0))</x:f>
      </x:c>
      <x:c r="H102" s="24" t="str">
        <x:f>IF(OR(A102="",C102="",D102=""),"",IF(D102&gt;TIME(11,0,0),'Настройки'!$B$10,0))</x:f>
      </x:c>
      <x:c r="I102" s="22" t="str">
        <x:f>IF(OR(A102="",C102="",D102=""),"",MAX(((D102-C102)*24)-((G102+H102)/60),0))</x:f>
      </x:c>
      <x:c r="J102" s="22" t="str">
        <x:f>IF(I102="","",MIN(I102,8))</x:f>
      </x:c>
      <x:c r="K102" s="22" t="str">
        <x:f>IF(I102="","",MAX(I102-8,0))</x:f>
      </x:c>
      <x:c r="L102" s="26" t="str">
        <x:f>IF(J102="","",J102*'Настройки'!$B$5)</x:f>
      </x:c>
      <x:c r="M102" s="26" t="str">
        <x:f>IF(K102="","",K102*'Настройки'!$B$6)</x:f>
      </x:c>
      <x:c r="N102" s="22" t="str">
        <x:f>IF(E102="","",MAX(E102-'Настройки'!$B$7,0))</x:f>
      </x:c>
      <x:c r="O102" s="26" t="str">
        <x:f>IF(N102="","",N102*'Настройки'!$B$8)</x:f>
      </x:c>
      <x:c r="P102" s="26" t="str">
        <x:f>IF(L102="","",L102+M102)</x:f>
      </x:c>
      <x:c r="Q102" s="26" t="str">
        <x:f>IF(P102="","",P102+O102)</x:f>
      </x:c>
    </x:row>
    <x:row r="103">
      <x:c r="A103" s="18"/>
      <x:c r="B103" t="str">
        <x:f>IF(A103="","",TEXT(A103,"dddd"))</x:f>
      </x:c>
      <x:c r="C103" s="20"/>
      <x:c r="D103" s="20"/>
      <x:c r="E103" s="22"/>
      <x:c r="F103" s="22"/>
      <x:c r="G103" s="24" t="str">
        <x:f>IF(OR(A103="",C103="",D103=""),"",IF(D103&gt;TIME(8,0,0),'Настройки'!$B$9,0))</x:f>
      </x:c>
      <x:c r="H103" s="24" t="str">
        <x:f>IF(OR(A103="",C103="",D103=""),"",IF(D103&gt;TIME(11,0,0),'Настройки'!$B$10,0))</x:f>
      </x:c>
      <x:c r="I103" s="22" t="str">
        <x:f>IF(OR(A103="",C103="",D103=""),"",MAX(((D103-C103)*24)-((G103+H103)/60),0))</x:f>
      </x:c>
      <x:c r="J103" s="22" t="str">
        <x:f>IF(I103="","",MIN(I103,8))</x:f>
      </x:c>
      <x:c r="K103" s="22" t="str">
        <x:f>IF(I103="","",MAX(I103-8,0))</x:f>
      </x:c>
      <x:c r="L103" s="26" t="str">
        <x:f>IF(J103="","",J103*'Настройки'!$B$5)</x:f>
      </x:c>
      <x:c r="M103" s="26" t="str">
        <x:f>IF(K103="","",K103*'Настройки'!$B$6)</x:f>
      </x:c>
      <x:c r="N103" s="22" t="str">
        <x:f>IF(E103="","",MAX(E103-'Настройки'!$B$7,0))</x:f>
      </x:c>
      <x:c r="O103" s="26" t="str">
        <x:f>IF(N103="","",N103*'Настройки'!$B$8)</x:f>
      </x:c>
      <x:c r="P103" s="26" t="str">
        <x:f>IF(L103="","",L103+M103)</x:f>
      </x:c>
      <x:c r="Q103" s="26" t="str">
        <x:f>IF(P103="","",P103+O103)</x:f>
      </x:c>
    </x:row>
    <x:row r="104">
      <x:c r="A104" s="18"/>
      <x:c r="B104" t="str">
        <x:f>IF(A104="","",TEXT(A104,"dddd"))</x:f>
      </x:c>
      <x:c r="C104" s="20"/>
      <x:c r="D104" s="20"/>
      <x:c r="E104" s="22"/>
      <x:c r="F104" s="22"/>
      <x:c r="G104" s="24" t="str">
        <x:f>IF(OR(A104="",C104="",D104=""),"",IF(D104&gt;TIME(8,0,0),'Настройки'!$B$9,0))</x:f>
      </x:c>
      <x:c r="H104" s="24" t="str">
        <x:f>IF(OR(A104="",C104="",D104=""),"",IF(D104&gt;TIME(11,0,0),'Настройки'!$B$10,0))</x:f>
      </x:c>
      <x:c r="I104" s="22" t="str">
        <x:f>IF(OR(A104="",C104="",D104=""),"",MAX(((D104-C104)*24)-((G104+H104)/60),0))</x:f>
      </x:c>
      <x:c r="J104" s="22" t="str">
        <x:f>IF(I104="","",MIN(I104,8))</x:f>
      </x:c>
      <x:c r="K104" s="22" t="str">
        <x:f>IF(I104="","",MAX(I104-8,0))</x:f>
      </x:c>
      <x:c r="L104" s="26" t="str">
        <x:f>IF(J104="","",J104*'Настройки'!$B$5)</x:f>
      </x:c>
      <x:c r="M104" s="26" t="str">
        <x:f>IF(K104="","",K104*'Настройки'!$B$6)</x:f>
      </x:c>
      <x:c r="N104" s="22" t="str">
        <x:f>IF(E104="","",MAX(E104-'Настройки'!$B$7,0))</x:f>
      </x:c>
      <x:c r="O104" s="26" t="str">
        <x:f>IF(N104="","",N104*'Настройки'!$B$8)</x:f>
      </x:c>
      <x:c r="P104" s="26" t="str">
        <x:f>IF(L104="","",L104+M104)</x:f>
      </x:c>
      <x:c r="Q104" s="26" t="str">
        <x:f>IF(P104="","",P104+O104)</x:f>
      </x:c>
    </x:row>
    <x:row r="105">
      <x:c r="A105" s="18"/>
      <x:c r="B105" t="str">
        <x:f>IF(A105="","",TEXT(A105,"dddd"))</x:f>
      </x:c>
      <x:c r="C105" s="20"/>
      <x:c r="D105" s="20"/>
      <x:c r="E105" s="22"/>
      <x:c r="F105" s="22"/>
      <x:c r="G105" s="24" t="str">
        <x:f>IF(OR(A105="",C105="",D105=""),"",IF(D105&gt;TIME(8,0,0),'Настройки'!$B$9,0))</x:f>
      </x:c>
      <x:c r="H105" s="24" t="str">
        <x:f>IF(OR(A105="",C105="",D105=""),"",IF(D105&gt;TIME(11,0,0),'Настройки'!$B$10,0))</x:f>
      </x:c>
      <x:c r="I105" s="22" t="str">
        <x:f>IF(OR(A105="",C105="",D105=""),"",MAX(((D105-C105)*24)-((G105+H105)/60),0))</x:f>
      </x:c>
      <x:c r="J105" s="22" t="str">
        <x:f>IF(I105="","",MIN(I105,8))</x:f>
      </x:c>
      <x:c r="K105" s="22" t="str">
        <x:f>IF(I105="","",MAX(I105-8,0))</x:f>
      </x:c>
      <x:c r="L105" s="26" t="str">
        <x:f>IF(J105="","",J105*'Настройки'!$B$5)</x:f>
      </x:c>
      <x:c r="M105" s="26" t="str">
        <x:f>IF(K105="","",K105*'Настройки'!$B$6)</x:f>
      </x:c>
      <x:c r="N105" s="22" t="str">
        <x:f>IF(E105="","",MAX(E105-'Настройки'!$B$7,0))</x:f>
      </x:c>
      <x:c r="O105" s="26" t="str">
        <x:f>IF(N105="","",N105*'Настройки'!$B$8)</x:f>
      </x:c>
      <x:c r="P105" s="26" t="str">
        <x:f>IF(L105="","",L105+M105)</x:f>
      </x:c>
      <x:c r="Q105" s="26" t="str">
        <x:f>IF(P105="","",P105+O105)</x:f>
      </x:c>
    </x:row>
    <x:row r="106">
      <x:c r="A106" s="18"/>
      <x:c r="B106" t="str">
        <x:f>IF(A106="","",TEXT(A106,"dddd"))</x:f>
      </x:c>
      <x:c r="C106" s="20"/>
      <x:c r="D106" s="20"/>
      <x:c r="E106" s="22"/>
      <x:c r="F106" s="22"/>
      <x:c r="G106" s="24" t="str">
        <x:f>IF(OR(A106="",C106="",D106=""),"",IF(D106&gt;TIME(8,0,0),'Настройки'!$B$9,0))</x:f>
      </x:c>
      <x:c r="H106" s="24" t="str">
        <x:f>IF(OR(A106="",C106="",D106=""),"",IF(D106&gt;TIME(11,0,0),'Настройки'!$B$10,0))</x:f>
      </x:c>
      <x:c r="I106" s="22" t="str">
        <x:f>IF(OR(A106="",C106="",D106=""),"",MAX(((D106-C106)*24)-((G106+H106)/60),0))</x:f>
      </x:c>
      <x:c r="J106" s="22" t="str">
        <x:f>IF(I106="","",MIN(I106,8))</x:f>
      </x:c>
      <x:c r="K106" s="22" t="str">
        <x:f>IF(I106="","",MAX(I106-8,0))</x:f>
      </x:c>
      <x:c r="L106" s="26" t="str">
        <x:f>IF(J106="","",J106*'Настройки'!$B$5)</x:f>
      </x:c>
      <x:c r="M106" s="26" t="str">
        <x:f>IF(K106="","",K106*'Настройки'!$B$6)</x:f>
      </x:c>
      <x:c r="N106" s="22" t="str">
        <x:f>IF(E106="","",MAX(E106-'Настройки'!$B$7,0))</x:f>
      </x:c>
      <x:c r="O106" s="26" t="str">
        <x:f>IF(N106="","",N106*'Настройки'!$B$8)</x:f>
      </x:c>
      <x:c r="P106" s="26" t="str">
        <x:f>IF(L106="","",L106+M106)</x:f>
      </x:c>
      <x:c r="Q106" s="26" t="str">
        <x:f>IF(P106="","",P106+O106)</x:f>
      </x:c>
    </x:row>
    <x:row r="107">
      <x:c r="A107" s="18"/>
      <x:c r="B107" t="str">
        <x:f>IF(A107="","",TEXT(A107,"dddd"))</x:f>
      </x:c>
      <x:c r="C107" s="20"/>
      <x:c r="D107" s="20"/>
      <x:c r="E107" s="22"/>
      <x:c r="F107" s="22"/>
      <x:c r="G107" s="24" t="str">
        <x:f>IF(OR(A107="",C107="",D107=""),"",IF(D107&gt;TIME(8,0,0),'Настройки'!$B$9,0))</x:f>
      </x:c>
      <x:c r="H107" s="24" t="str">
        <x:f>IF(OR(A107="",C107="",D107=""),"",IF(D107&gt;TIME(11,0,0),'Настройки'!$B$10,0))</x:f>
      </x:c>
      <x:c r="I107" s="22" t="str">
        <x:f>IF(OR(A107="",C107="",D107=""),"",MAX(((D107-C107)*24)-((G107+H107)/60),0))</x:f>
      </x:c>
      <x:c r="J107" s="22" t="str">
        <x:f>IF(I107="","",MIN(I107,8))</x:f>
      </x:c>
      <x:c r="K107" s="22" t="str">
        <x:f>IF(I107="","",MAX(I107-8,0))</x:f>
      </x:c>
      <x:c r="L107" s="26" t="str">
        <x:f>IF(J107="","",J107*'Настройки'!$B$5)</x:f>
      </x:c>
      <x:c r="M107" s="26" t="str">
        <x:f>IF(K107="","",K107*'Настройки'!$B$6)</x:f>
      </x:c>
      <x:c r="N107" s="22" t="str">
        <x:f>IF(E107="","",MAX(E107-'Настройки'!$B$7,0))</x:f>
      </x:c>
      <x:c r="O107" s="26" t="str">
        <x:f>IF(N107="","",N107*'Настройки'!$B$8)</x:f>
      </x:c>
      <x:c r="P107" s="26" t="str">
        <x:f>IF(L107="","",L107+M107)</x:f>
      </x:c>
      <x:c r="Q107" s="26" t="str">
        <x:f>IF(P107="","",P107+O107)</x:f>
      </x:c>
    </x:row>
    <x:row r="108">
      <x:c r="A108" s="18"/>
      <x:c r="B108" t="str">
        <x:f>IF(A108="","",TEXT(A108,"dddd"))</x:f>
      </x:c>
      <x:c r="C108" s="20"/>
      <x:c r="D108" s="20"/>
      <x:c r="E108" s="22"/>
      <x:c r="F108" s="22"/>
      <x:c r="G108" s="24" t="str">
        <x:f>IF(OR(A108="",C108="",D108=""),"",IF(D108&gt;TIME(8,0,0),'Настройки'!$B$9,0))</x:f>
      </x:c>
      <x:c r="H108" s="24" t="str">
        <x:f>IF(OR(A108="",C108="",D108=""),"",IF(D108&gt;TIME(11,0,0),'Настройки'!$B$10,0))</x:f>
      </x:c>
      <x:c r="I108" s="22" t="str">
        <x:f>IF(OR(A108="",C108="",D108=""),"",MAX(((D108-C108)*24)-((G108+H108)/60),0))</x:f>
      </x:c>
      <x:c r="J108" s="22" t="str">
        <x:f>IF(I108="","",MIN(I108,8))</x:f>
      </x:c>
      <x:c r="K108" s="22" t="str">
        <x:f>IF(I108="","",MAX(I108-8,0))</x:f>
      </x:c>
      <x:c r="L108" s="26" t="str">
        <x:f>IF(J108="","",J108*'Настройки'!$B$5)</x:f>
      </x:c>
      <x:c r="M108" s="26" t="str">
        <x:f>IF(K108="","",K108*'Настройки'!$B$6)</x:f>
      </x:c>
      <x:c r="N108" s="22" t="str">
        <x:f>IF(E108="","",MAX(E108-'Настройки'!$B$7,0))</x:f>
      </x:c>
      <x:c r="O108" s="26" t="str">
        <x:f>IF(N108="","",N108*'Настройки'!$B$8)</x:f>
      </x:c>
      <x:c r="P108" s="26" t="str">
        <x:f>IF(L108="","",L108+M108)</x:f>
      </x:c>
      <x:c r="Q108" s="26" t="str">
        <x:f>IF(P108="","",P108+O108)</x:f>
      </x:c>
    </x:row>
    <x:row r="109">
      <x:c r="A109" s="18"/>
      <x:c r="B109" t="str">
        <x:f>IF(A109="","",TEXT(A109,"dddd"))</x:f>
      </x:c>
      <x:c r="C109" s="20"/>
      <x:c r="D109" s="20"/>
      <x:c r="E109" s="22"/>
      <x:c r="F109" s="22"/>
      <x:c r="G109" s="24" t="str">
        <x:f>IF(OR(A109="",C109="",D109=""),"",IF(D109&gt;TIME(8,0,0),'Настройки'!$B$9,0))</x:f>
      </x:c>
      <x:c r="H109" s="24" t="str">
        <x:f>IF(OR(A109="",C109="",D109=""),"",IF(D109&gt;TIME(11,0,0),'Настройки'!$B$10,0))</x:f>
      </x:c>
      <x:c r="I109" s="22" t="str">
        <x:f>IF(OR(A109="",C109="",D109=""),"",MAX(((D109-C109)*24)-((G109+H109)/60),0))</x:f>
      </x:c>
      <x:c r="J109" s="22" t="str">
        <x:f>IF(I109="","",MIN(I109,8))</x:f>
      </x:c>
      <x:c r="K109" s="22" t="str">
        <x:f>IF(I109="","",MAX(I109-8,0))</x:f>
      </x:c>
      <x:c r="L109" s="26" t="str">
        <x:f>IF(J109="","",J109*'Настройки'!$B$5)</x:f>
      </x:c>
      <x:c r="M109" s="26" t="str">
        <x:f>IF(K109="","",K109*'Настройки'!$B$6)</x:f>
      </x:c>
      <x:c r="N109" s="22" t="str">
        <x:f>IF(E109="","",MAX(E109-'Настройки'!$B$7,0))</x:f>
      </x:c>
      <x:c r="O109" s="26" t="str">
        <x:f>IF(N109="","",N109*'Настройки'!$B$8)</x:f>
      </x:c>
      <x:c r="P109" s="26" t="str">
        <x:f>IF(L109="","",L109+M109)</x:f>
      </x:c>
      <x:c r="Q109" s="26" t="str">
        <x:f>IF(P109="","",P109+O109)</x:f>
      </x:c>
    </x:row>
    <x:row r="110">
      <x:c r="A110" s="18"/>
      <x:c r="B110" t="str">
        <x:f>IF(A110="","",TEXT(A110,"dddd"))</x:f>
      </x:c>
      <x:c r="C110" s="20"/>
      <x:c r="D110" s="20"/>
      <x:c r="E110" s="22"/>
      <x:c r="F110" s="22"/>
      <x:c r="G110" s="24" t="str">
        <x:f>IF(OR(A110="",C110="",D110=""),"",IF(D110&gt;TIME(8,0,0),'Настройки'!$B$9,0))</x:f>
      </x:c>
      <x:c r="H110" s="24" t="str">
        <x:f>IF(OR(A110="",C110="",D110=""),"",IF(D110&gt;TIME(11,0,0),'Настройки'!$B$10,0))</x:f>
      </x:c>
      <x:c r="I110" s="22" t="str">
        <x:f>IF(OR(A110="",C110="",D110=""),"",MAX(((D110-C110)*24)-((G110+H110)/60),0))</x:f>
      </x:c>
      <x:c r="J110" s="22" t="str">
        <x:f>IF(I110="","",MIN(I110,8))</x:f>
      </x:c>
      <x:c r="K110" s="22" t="str">
        <x:f>IF(I110="","",MAX(I110-8,0))</x:f>
      </x:c>
      <x:c r="L110" s="26" t="str">
        <x:f>IF(J110="","",J110*'Настройки'!$B$5)</x:f>
      </x:c>
      <x:c r="M110" s="26" t="str">
        <x:f>IF(K110="","",K110*'Настройки'!$B$6)</x:f>
      </x:c>
      <x:c r="N110" s="22" t="str">
        <x:f>IF(E110="","",MAX(E110-'Настройки'!$B$7,0))</x:f>
      </x:c>
      <x:c r="O110" s="26" t="str">
        <x:f>IF(N110="","",N110*'Настройки'!$B$8)</x:f>
      </x:c>
      <x:c r="P110" s="26" t="str">
        <x:f>IF(L110="","",L110+M110)</x:f>
      </x:c>
      <x:c r="Q110" s="26" t="str">
        <x:f>IF(P110="","",P110+O110)</x:f>
      </x:c>
    </x:row>
    <x:row r="111">
      <x:c r="A111" s="18"/>
      <x:c r="B111" t="str">
        <x:f>IF(A111="","",TEXT(A111,"dddd"))</x:f>
      </x:c>
      <x:c r="C111" s="20"/>
      <x:c r="D111" s="20"/>
      <x:c r="E111" s="22"/>
      <x:c r="F111" s="22"/>
      <x:c r="G111" s="24" t="str">
        <x:f>IF(OR(A111="",C111="",D111=""),"",IF(D111&gt;TIME(8,0,0),'Настройки'!$B$9,0))</x:f>
      </x:c>
      <x:c r="H111" s="24" t="str">
        <x:f>IF(OR(A111="",C111="",D111=""),"",IF(D111&gt;TIME(11,0,0),'Настройки'!$B$10,0))</x:f>
      </x:c>
      <x:c r="I111" s="22" t="str">
        <x:f>IF(OR(A111="",C111="",D111=""),"",MAX(((D111-C111)*24)-((G111+H111)/60),0))</x:f>
      </x:c>
      <x:c r="J111" s="22" t="str">
        <x:f>IF(I111="","",MIN(I111,8))</x:f>
      </x:c>
      <x:c r="K111" s="22" t="str">
        <x:f>IF(I111="","",MAX(I111-8,0))</x:f>
      </x:c>
      <x:c r="L111" s="26" t="str">
        <x:f>IF(J111="","",J111*'Настройки'!$B$5)</x:f>
      </x:c>
      <x:c r="M111" s="26" t="str">
        <x:f>IF(K111="","",K111*'Настройки'!$B$6)</x:f>
      </x:c>
      <x:c r="N111" s="22" t="str">
        <x:f>IF(E111="","",MAX(E111-'Настройки'!$B$7,0))</x:f>
      </x:c>
      <x:c r="O111" s="26" t="str">
        <x:f>IF(N111="","",N111*'Настройки'!$B$8)</x:f>
      </x:c>
      <x:c r="P111" s="26" t="str">
        <x:f>IF(L111="","",L111+M111)</x:f>
      </x:c>
      <x:c r="Q111" s="26" t="str">
        <x:f>IF(P111="","",P111+O111)</x:f>
      </x:c>
    </x:row>
    <x:row r="112">
      <x:c r="A112" s="18"/>
      <x:c r="B112" t="str">
        <x:f>IF(A112="","",TEXT(A112,"dddd"))</x:f>
      </x:c>
      <x:c r="C112" s="20"/>
      <x:c r="D112" s="20"/>
      <x:c r="E112" s="22"/>
      <x:c r="F112" s="22"/>
      <x:c r="G112" s="24" t="str">
        <x:f>IF(OR(A112="",C112="",D112=""),"",IF(D112&gt;TIME(8,0,0),'Настройки'!$B$9,0))</x:f>
      </x:c>
      <x:c r="H112" s="24" t="str">
        <x:f>IF(OR(A112="",C112="",D112=""),"",IF(D112&gt;TIME(11,0,0),'Настройки'!$B$10,0))</x:f>
      </x:c>
      <x:c r="I112" s="22" t="str">
        <x:f>IF(OR(A112="",C112="",D112=""),"",MAX(((D112-C112)*24)-((G112+H112)/60),0))</x:f>
      </x:c>
      <x:c r="J112" s="22" t="str">
        <x:f>IF(I112="","",MIN(I112,8))</x:f>
      </x:c>
      <x:c r="K112" s="22" t="str">
        <x:f>IF(I112="","",MAX(I112-8,0))</x:f>
      </x:c>
      <x:c r="L112" s="26" t="str">
        <x:f>IF(J112="","",J112*'Настройки'!$B$5)</x:f>
      </x:c>
      <x:c r="M112" s="26" t="str">
        <x:f>IF(K112="","",K112*'Настройки'!$B$6)</x:f>
      </x:c>
      <x:c r="N112" s="22" t="str">
        <x:f>IF(E112="","",MAX(E112-'Настройки'!$B$7,0))</x:f>
      </x:c>
      <x:c r="O112" s="26" t="str">
        <x:f>IF(N112="","",N112*'Настройки'!$B$8)</x:f>
      </x:c>
      <x:c r="P112" s="26" t="str">
        <x:f>IF(L112="","",L112+M112)</x:f>
      </x:c>
      <x:c r="Q112" s="26" t="str">
        <x:f>IF(P112="","",P112+O112)</x:f>
      </x:c>
    </x:row>
    <x:row r="113">
      <x:c r="A113" s="18"/>
      <x:c r="B113" t="str">
        <x:f>IF(A113="","",TEXT(A113,"dddd"))</x:f>
      </x:c>
      <x:c r="C113" s="20"/>
      <x:c r="D113" s="20"/>
      <x:c r="E113" s="22"/>
      <x:c r="F113" s="22"/>
      <x:c r="G113" s="24" t="str">
        <x:f>IF(OR(A113="",C113="",D113=""),"",IF(D113&gt;TIME(8,0,0),'Настройки'!$B$9,0))</x:f>
      </x:c>
      <x:c r="H113" s="24" t="str">
        <x:f>IF(OR(A113="",C113="",D113=""),"",IF(D113&gt;TIME(11,0,0),'Настройки'!$B$10,0))</x:f>
      </x:c>
      <x:c r="I113" s="22" t="str">
        <x:f>IF(OR(A113="",C113="",D113=""),"",MAX(((D113-C113)*24)-((G113+H113)/60),0))</x:f>
      </x:c>
      <x:c r="J113" s="22" t="str">
        <x:f>IF(I113="","",MIN(I113,8))</x:f>
      </x:c>
      <x:c r="K113" s="22" t="str">
        <x:f>IF(I113="","",MAX(I113-8,0))</x:f>
      </x:c>
      <x:c r="L113" s="26" t="str">
        <x:f>IF(J113="","",J113*'Настройки'!$B$5)</x:f>
      </x:c>
      <x:c r="M113" s="26" t="str">
        <x:f>IF(K113="","",K113*'Настройки'!$B$6)</x:f>
      </x:c>
      <x:c r="N113" s="22" t="str">
        <x:f>IF(E113="","",MAX(E113-'Настройки'!$B$7,0))</x:f>
      </x:c>
      <x:c r="O113" s="26" t="str">
        <x:f>IF(N113="","",N113*'Настройки'!$B$8)</x:f>
      </x:c>
      <x:c r="P113" s="26" t="str">
        <x:f>IF(L113="","",L113+M113)</x:f>
      </x:c>
      <x:c r="Q113" s="26" t="str">
        <x:f>IF(P113="","",P113+O113)</x:f>
      </x:c>
    </x:row>
    <x:row r="114">
      <x:c r="A114" s="18"/>
      <x:c r="B114" t="str">
        <x:f>IF(A114="","",TEXT(A114,"dddd"))</x:f>
      </x:c>
      <x:c r="C114" s="20"/>
      <x:c r="D114" s="20"/>
      <x:c r="E114" s="22"/>
      <x:c r="F114" s="22"/>
      <x:c r="G114" s="24" t="str">
        <x:f>IF(OR(A114="",C114="",D114=""),"",IF(D114&gt;TIME(8,0,0),'Настройки'!$B$9,0))</x:f>
      </x:c>
      <x:c r="H114" s="24" t="str">
        <x:f>IF(OR(A114="",C114="",D114=""),"",IF(D114&gt;TIME(11,0,0),'Настройки'!$B$10,0))</x:f>
      </x:c>
      <x:c r="I114" s="22" t="str">
        <x:f>IF(OR(A114="",C114="",D114=""),"",MAX(((D114-C114)*24)-((G114+H114)/60),0))</x:f>
      </x:c>
      <x:c r="J114" s="22" t="str">
        <x:f>IF(I114="","",MIN(I114,8))</x:f>
      </x:c>
      <x:c r="K114" s="22" t="str">
        <x:f>IF(I114="","",MAX(I114-8,0))</x:f>
      </x:c>
      <x:c r="L114" s="26" t="str">
        <x:f>IF(J114="","",J114*'Настройки'!$B$5)</x:f>
      </x:c>
      <x:c r="M114" s="26" t="str">
        <x:f>IF(K114="","",K114*'Настройки'!$B$6)</x:f>
      </x:c>
      <x:c r="N114" s="22" t="str">
        <x:f>IF(E114="","",MAX(E114-'Настройки'!$B$7,0))</x:f>
      </x:c>
      <x:c r="O114" s="26" t="str">
        <x:f>IF(N114="","",N114*'Настройки'!$B$8)</x:f>
      </x:c>
      <x:c r="P114" s="26" t="str">
        <x:f>IF(L114="","",L114+M114)</x:f>
      </x:c>
      <x:c r="Q114" s="26" t="str">
        <x:f>IF(P114="","",P114+O114)</x:f>
      </x:c>
    </x:row>
    <x:row r="115">
      <x:c r="A115" s="18"/>
      <x:c r="B115" t="str">
        <x:f>IF(A115="","",TEXT(A115,"dddd"))</x:f>
      </x:c>
      <x:c r="C115" s="20"/>
      <x:c r="D115" s="20"/>
      <x:c r="E115" s="22"/>
      <x:c r="F115" s="22"/>
      <x:c r="G115" s="24" t="str">
        <x:f>IF(OR(A115="",C115="",D115=""),"",IF(D115&gt;TIME(8,0,0),'Настройки'!$B$9,0))</x:f>
      </x:c>
      <x:c r="H115" s="24" t="str">
        <x:f>IF(OR(A115="",C115="",D115=""),"",IF(D115&gt;TIME(11,0,0),'Настройки'!$B$10,0))</x:f>
      </x:c>
      <x:c r="I115" s="22" t="str">
        <x:f>IF(OR(A115="",C115="",D115=""),"",MAX(((D115-C115)*24)-((G115+H115)/60),0))</x:f>
      </x:c>
      <x:c r="J115" s="22" t="str">
        <x:f>IF(I115="","",MIN(I115,8))</x:f>
      </x:c>
      <x:c r="K115" s="22" t="str">
        <x:f>IF(I115="","",MAX(I115-8,0))</x:f>
      </x:c>
      <x:c r="L115" s="26" t="str">
        <x:f>IF(J115="","",J115*'Настройки'!$B$5)</x:f>
      </x:c>
      <x:c r="M115" s="26" t="str">
        <x:f>IF(K115="","",K115*'Настройки'!$B$6)</x:f>
      </x:c>
      <x:c r="N115" s="22" t="str">
        <x:f>IF(E115="","",MAX(E115-'Настройки'!$B$7,0))</x:f>
      </x:c>
      <x:c r="O115" s="26" t="str">
        <x:f>IF(N115="","",N115*'Настройки'!$B$8)</x:f>
      </x:c>
      <x:c r="P115" s="26" t="str">
        <x:f>IF(L115="","",L115+M115)</x:f>
      </x:c>
      <x:c r="Q115" s="26" t="str">
        <x:f>IF(P115="","",P115+O115)</x:f>
      </x:c>
    </x:row>
    <x:row r="116">
      <x:c r="A116" s="18"/>
      <x:c r="B116" t="str">
        <x:f>IF(A116="","",TEXT(A116,"dddd"))</x:f>
      </x:c>
      <x:c r="C116" s="20"/>
      <x:c r="D116" s="20"/>
      <x:c r="E116" s="22"/>
      <x:c r="F116" s="22"/>
      <x:c r="G116" s="24" t="str">
        <x:f>IF(OR(A116="",C116="",D116=""),"",IF(D116&gt;TIME(8,0,0),'Настройки'!$B$9,0))</x:f>
      </x:c>
      <x:c r="H116" s="24" t="str">
        <x:f>IF(OR(A116="",C116="",D116=""),"",IF(D116&gt;TIME(11,0,0),'Настройки'!$B$10,0))</x:f>
      </x:c>
      <x:c r="I116" s="22" t="str">
        <x:f>IF(OR(A116="",C116="",D116=""),"",MAX(((D116-C116)*24)-((G116+H116)/60),0))</x:f>
      </x:c>
      <x:c r="J116" s="22" t="str">
        <x:f>IF(I116="","",MIN(I116,8))</x:f>
      </x:c>
      <x:c r="K116" s="22" t="str">
        <x:f>IF(I116="","",MAX(I116-8,0))</x:f>
      </x:c>
      <x:c r="L116" s="26" t="str">
        <x:f>IF(J116="","",J116*'Настройки'!$B$5)</x:f>
      </x:c>
      <x:c r="M116" s="26" t="str">
        <x:f>IF(K116="","",K116*'Настройки'!$B$6)</x:f>
      </x:c>
      <x:c r="N116" s="22" t="str">
        <x:f>IF(E116="","",MAX(E116-'Настройки'!$B$7,0))</x:f>
      </x:c>
      <x:c r="O116" s="26" t="str">
        <x:f>IF(N116="","",N116*'Настройки'!$B$8)</x:f>
      </x:c>
      <x:c r="P116" s="26" t="str">
        <x:f>IF(L116="","",L116+M116)</x:f>
      </x:c>
      <x:c r="Q116" s="26" t="str">
        <x:f>IF(P116="","",P116+O116)</x:f>
      </x:c>
    </x:row>
    <x:row r="117">
      <x:c r="A117" s="18"/>
      <x:c r="B117" t="str">
        <x:f>IF(A117="","",TEXT(A117,"dddd"))</x:f>
      </x:c>
      <x:c r="C117" s="20"/>
      <x:c r="D117" s="20"/>
      <x:c r="E117" s="22"/>
      <x:c r="F117" s="22"/>
      <x:c r="G117" s="24" t="str">
        <x:f>IF(OR(A117="",C117="",D117=""),"",IF(D117&gt;TIME(8,0,0),'Настройки'!$B$9,0))</x:f>
      </x:c>
      <x:c r="H117" s="24" t="str">
        <x:f>IF(OR(A117="",C117="",D117=""),"",IF(D117&gt;TIME(11,0,0),'Настройки'!$B$10,0))</x:f>
      </x:c>
      <x:c r="I117" s="22" t="str">
        <x:f>IF(OR(A117="",C117="",D117=""),"",MAX(((D117-C117)*24)-((G117+H117)/60),0))</x:f>
      </x:c>
      <x:c r="J117" s="22" t="str">
        <x:f>IF(I117="","",MIN(I117,8))</x:f>
      </x:c>
      <x:c r="K117" s="22" t="str">
        <x:f>IF(I117="","",MAX(I117-8,0))</x:f>
      </x:c>
      <x:c r="L117" s="26" t="str">
        <x:f>IF(J117="","",J117*'Настройки'!$B$5)</x:f>
      </x:c>
      <x:c r="M117" s="26" t="str">
        <x:f>IF(K117="","",K117*'Настройки'!$B$6)</x:f>
      </x:c>
      <x:c r="N117" s="22" t="str">
        <x:f>IF(E117="","",MAX(E117-'Настройки'!$B$7,0))</x:f>
      </x:c>
      <x:c r="O117" s="26" t="str">
        <x:f>IF(N117="","",N117*'Настройки'!$B$8)</x:f>
      </x:c>
      <x:c r="P117" s="26" t="str">
        <x:f>IF(L117="","",L117+M117)</x:f>
      </x:c>
      <x:c r="Q117" s="26" t="str">
        <x:f>IF(P117="","",P117+O117)</x:f>
      </x:c>
    </x:row>
    <x:row r="118">
      <x:c r="A118" s="18"/>
      <x:c r="B118" t="str">
        <x:f>IF(A118="","",TEXT(A118,"dddd"))</x:f>
      </x:c>
      <x:c r="C118" s="20"/>
      <x:c r="D118" s="20"/>
      <x:c r="E118" s="22"/>
      <x:c r="F118" s="22"/>
      <x:c r="G118" s="24" t="str">
        <x:f>IF(OR(A118="",C118="",D118=""),"",IF(D118&gt;TIME(8,0,0),'Настройки'!$B$9,0))</x:f>
      </x:c>
      <x:c r="H118" s="24" t="str">
        <x:f>IF(OR(A118="",C118="",D118=""),"",IF(D118&gt;TIME(11,0,0),'Настройки'!$B$10,0))</x:f>
      </x:c>
      <x:c r="I118" s="22" t="str">
        <x:f>IF(OR(A118="",C118="",D118=""),"",MAX(((D118-C118)*24)-((G118+H118)/60),0))</x:f>
      </x:c>
      <x:c r="J118" s="22" t="str">
        <x:f>IF(I118="","",MIN(I118,8))</x:f>
      </x:c>
      <x:c r="K118" s="22" t="str">
        <x:f>IF(I118="","",MAX(I118-8,0))</x:f>
      </x:c>
      <x:c r="L118" s="26" t="str">
        <x:f>IF(J118="","",J118*'Настройки'!$B$5)</x:f>
      </x:c>
      <x:c r="M118" s="26" t="str">
        <x:f>IF(K118="","",K118*'Настройки'!$B$6)</x:f>
      </x:c>
      <x:c r="N118" s="22" t="str">
        <x:f>IF(E118="","",MAX(E118-'Настройки'!$B$7,0))</x:f>
      </x:c>
      <x:c r="O118" s="26" t="str">
        <x:f>IF(N118="","",N118*'Настройки'!$B$8)</x:f>
      </x:c>
      <x:c r="P118" s="26" t="str">
        <x:f>IF(L118="","",L118+M118)</x:f>
      </x:c>
      <x:c r="Q118" s="26" t="str">
        <x:f>IF(P118="","",P118+O118)</x:f>
      </x:c>
    </x:row>
    <x:row r="119">
      <x:c r="A119" s="18"/>
      <x:c r="B119" t="str">
        <x:f>IF(A119="","",TEXT(A119,"dddd"))</x:f>
      </x:c>
      <x:c r="C119" s="20"/>
      <x:c r="D119" s="20"/>
      <x:c r="E119" s="22"/>
      <x:c r="F119" s="22"/>
      <x:c r="G119" s="24" t="str">
        <x:f>IF(OR(A119="",C119="",D119=""),"",IF(D119&gt;TIME(8,0,0),'Настройки'!$B$9,0))</x:f>
      </x:c>
      <x:c r="H119" s="24" t="str">
        <x:f>IF(OR(A119="",C119="",D119=""),"",IF(D119&gt;TIME(11,0,0),'Настройки'!$B$10,0))</x:f>
      </x:c>
      <x:c r="I119" s="22" t="str">
        <x:f>IF(OR(A119="",C119="",D119=""),"",MAX(((D119-C119)*24)-((G119+H119)/60),0))</x:f>
      </x:c>
      <x:c r="J119" s="22" t="str">
        <x:f>IF(I119="","",MIN(I119,8))</x:f>
      </x:c>
      <x:c r="K119" s="22" t="str">
        <x:f>IF(I119="","",MAX(I119-8,0))</x:f>
      </x:c>
      <x:c r="L119" s="26" t="str">
        <x:f>IF(J119="","",J119*'Настройки'!$B$5)</x:f>
      </x:c>
      <x:c r="M119" s="26" t="str">
        <x:f>IF(K119="","",K119*'Настройки'!$B$6)</x:f>
      </x:c>
      <x:c r="N119" s="22" t="str">
        <x:f>IF(E119="","",MAX(E119-'Настройки'!$B$7,0))</x:f>
      </x:c>
      <x:c r="O119" s="26" t="str">
        <x:f>IF(N119="","",N119*'Настройки'!$B$8)</x:f>
      </x:c>
      <x:c r="P119" s="26" t="str">
        <x:f>IF(L119="","",L119+M119)</x:f>
      </x:c>
      <x:c r="Q119" s="26" t="str">
        <x:f>IF(P119="","",P119+O119)</x:f>
      </x:c>
    </x:row>
    <x:row r="120">
      <x:c r="A120" s="18"/>
      <x:c r="B120" t="str">
        <x:f>IF(A120="","",TEXT(A120,"dddd"))</x:f>
      </x:c>
      <x:c r="C120" s="20"/>
      <x:c r="D120" s="20"/>
      <x:c r="E120" s="22"/>
      <x:c r="F120" s="22"/>
      <x:c r="G120" s="24" t="str">
        <x:f>IF(OR(A120="",C120="",D120=""),"",IF(D120&gt;TIME(8,0,0),'Настройки'!$B$9,0))</x:f>
      </x:c>
      <x:c r="H120" s="24" t="str">
        <x:f>IF(OR(A120="",C120="",D120=""),"",IF(D120&gt;TIME(11,0,0),'Настройки'!$B$10,0))</x:f>
      </x:c>
      <x:c r="I120" s="22" t="str">
        <x:f>IF(OR(A120="",C120="",D120=""),"",MAX(((D120-C120)*24)-((G120+H120)/60),0))</x:f>
      </x:c>
      <x:c r="J120" s="22" t="str">
        <x:f>IF(I120="","",MIN(I120,8))</x:f>
      </x:c>
      <x:c r="K120" s="22" t="str">
        <x:f>IF(I120="","",MAX(I120-8,0))</x:f>
      </x:c>
      <x:c r="L120" s="26" t="str">
        <x:f>IF(J120="","",J120*'Настройки'!$B$5)</x:f>
      </x:c>
      <x:c r="M120" s="26" t="str">
        <x:f>IF(K120="","",K120*'Настройки'!$B$6)</x:f>
      </x:c>
      <x:c r="N120" s="22" t="str">
        <x:f>IF(E120="","",MAX(E120-'Настройки'!$B$7,0))</x:f>
      </x:c>
      <x:c r="O120" s="26" t="str">
        <x:f>IF(N120="","",N120*'Настройки'!$B$8)</x:f>
      </x:c>
      <x:c r="P120" s="26" t="str">
        <x:f>IF(L120="","",L120+M120)</x:f>
      </x:c>
      <x:c r="Q120" s="26" t="str">
        <x:f>IF(P120="","",P120+O120)</x:f>
      </x:c>
    </x:row>
    <x:row r="121">
      <x:c r="A121" s="18"/>
      <x:c r="B121" t="str">
        <x:f>IF(A121="","",TEXT(A121,"dddd"))</x:f>
      </x:c>
      <x:c r="C121" s="20"/>
      <x:c r="D121" s="20"/>
      <x:c r="E121" s="22"/>
      <x:c r="F121" s="22"/>
      <x:c r="G121" s="24" t="str">
        <x:f>IF(OR(A121="",C121="",D121=""),"",IF(D121&gt;TIME(8,0,0),'Настройки'!$B$9,0))</x:f>
      </x:c>
      <x:c r="H121" s="24" t="str">
        <x:f>IF(OR(A121="",C121="",D121=""),"",IF(D121&gt;TIME(11,0,0),'Настройки'!$B$10,0))</x:f>
      </x:c>
      <x:c r="I121" s="22" t="str">
        <x:f>IF(OR(A121="",C121="",D121=""),"",MAX(((D121-C121)*24)-((G121+H121)/60),0))</x:f>
      </x:c>
      <x:c r="J121" s="22" t="str">
        <x:f>IF(I121="","",MIN(I121,8))</x:f>
      </x:c>
      <x:c r="K121" s="22" t="str">
        <x:f>IF(I121="","",MAX(I121-8,0))</x:f>
      </x:c>
      <x:c r="L121" s="26" t="str">
        <x:f>IF(J121="","",J121*'Настройки'!$B$5)</x:f>
      </x:c>
      <x:c r="M121" s="26" t="str">
        <x:f>IF(K121="","",K121*'Настройки'!$B$6)</x:f>
      </x:c>
      <x:c r="N121" s="22" t="str">
        <x:f>IF(E121="","",MAX(E121-'Настройки'!$B$7,0))</x:f>
      </x:c>
      <x:c r="O121" s="26" t="str">
        <x:f>IF(N121="","",N121*'Настройки'!$B$8)</x:f>
      </x:c>
      <x:c r="P121" s="26" t="str">
        <x:f>IF(L121="","",L121+M121)</x:f>
      </x:c>
      <x:c r="Q121" s="26" t="str">
        <x:f>IF(P121="","",P121+O121)</x:f>
      </x:c>
    </x:row>
    <x:row r="122">
      <x:c r="A122" s="18"/>
      <x:c r="B122" t="str">
        <x:f>IF(A122="","",TEXT(A122,"dddd"))</x:f>
      </x:c>
      <x:c r="C122" s="20"/>
      <x:c r="D122" s="20"/>
      <x:c r="E122" s="22"/>
      <x:c r="F122" s="22"/>
      <x:c r="G122" s="24" t="str">
        <x:f>IF(OR(A122="",C122="",D122=""),"",IF(D122&gt;TIME(8,0,0),'Настройки'!$B$9,0))</x:f>
      </x:c>
      <x:c r="H122" s="24" t="str">
        <x:f>IF(OR(A122="",C122="",D122=""),"",IF(D122&gt;TIME(11,0,0),'Настройки'!$B$10,0))</x:f>
      </x:c>
      <x:c r="I122" s="22" t="str">
        <x:f>IF(OR(A122="",C122="",D122=""),"",MAX(((D122-C122)*24)-((G122+H122)/60),0))</x:f>
      </x:c>
      <x:c r="J122" s="22" t="str">
        <x:f>IF(I122="","",MIN(I122,8))</x:f>
      </x:c>
      <x:c r="K122" s="22" t="str">
        <x:f>IF(I122="","",MAX(I122-8,0))</x:f>
      </x:c>
      <x:c r="L122" s="26" t="str">
        <x:f>IF(J122="","",J122*'Настройки'!$B$5)</x:f>
      </x:c>
      <x:c r="M122" s="26" t="str">
        <x:f>IF(K122="","",K122*'Настройки'!$B$6)</x:f>
      </x:c>
      <x:c r="N122" s="22" t="str">
        <x:f>IF(E122="","",MAX(E122-'Настройки'!$B$7,0))</x:f>
      </x:c>
      <x:c r="O122" s="26" t="str">
        <x:f>IF(N122="","",N122*'Настройки'!$B$8)</x:f>
      </x:c>
      <x:c r="P122" s="26" t="str">
        <x:f>IF(L122="","",L122+M122)</x:f>
      </x:c>
      <x:c r="Q122" s="26" t="str">
        <x:f>IF(P122="","",P122+O122)</x:f>
      </x:c>
    </x:row>
    <x:row r="123">
      <x:c r="A123" s="18"/>
      <x:c r="B123" t="str">
        <x:f>IF(A123="","",TEXT(A123,"dddd"))</x:f>
      </x:c>
      <x:c r="C123" s="20"/>
      <x:c r="D123" s="20"/>
      <x:c r="E123" s="22"/>
      <x:c r="F123" s="22"/>
      <x:c r="G123" s="24" t="str">
        <x:f>IF(OR(A123="",C123="",D123=""),"",IF(D123&gt;TIME(8,0,0),'Настройки'!$B$9,0))</x:f>
      </x:c>
      <x:c r="H123" s="24" t="str">
        <x:f>IF(OR(A123="",C123="",D123=""),"",IF(D123&gt;TIME(11,0,0),'Настройки'!$B$10,0))</x:f>
      </x:c>
      <x:c r="I123" s="22" t="str">
        <x:f>IF(OR(A123="",C123="",D123=""),"",MAX(((D123-C123)*24)-((G123+H123)/60),0))</x:f>
      </x:c>
      <x:c r="J123" s="22" t="str">
        <x:f>IF(I123="","",MIN(I123,8))</x:f>
      </x:c>
      <x:c r="K123" s="22" t="str">
        <x:f>IF(I123="","",MAX(I123-8,0))</x:f>
      </x:c>
      <x:c r="L123" s="26" t="str">
        <x:f>IF(J123="","",J123*'Настройки'!$B$5)</x:f>
      </x:c>
      <x:c r="M123" s="26" t="str">
        <x:f>IF(K123="","",K123*'Настройки'!$B$6)</x:f>
      </x:c>
      <x:c r="N123" s="22" t="str">
        <x:f>IF(E123="","",MAX(E123-'Настройки'!$B$7,0))</x:f>
      </x:c>
      <x:c r="O123" s="26" t="str">
        <x:f>IF(N123="","",N123*'Настройки'!$B$8)</x:f>
      </x:c>
      <x:c r="P123" s="26" t="str">
        <x:f>IF(L123="","",L123+M123)</x:f>
      </x:c>
      <x:c r="Q123" s="26" t="str">
        <x:f>IF(P123="","",P123+O123)</x:f>
      </x:c>
    </x:row>
    <x:row r="124">
      <x:c r="A124" s="18"/>
      <x:c r="B124" t="str">
        <x:f>IF(A124="","",TEXT(A124,"dddd"))</x:f>
      </x:c>
      <x:c r="C124" s="20"/>
      <x:c r="D124" s="20"/>
      <x:c r="E124" s="22"/>
      <x:c r="F124" s="22"/>
      <x:c r="G124" s="24" t="str">
        <x:f>IF(OR(A124="",C124="",D124=""),"",IF(D124&gt;TIME(8,0,0),'Настройки'!$B$9,0))</x:f>
      </x:c>
      <x:c r="H124" s="24" t="str">
        <x:f>IF(OR(A124="",C124="",D124=""),"",IF(D124&gt;TIME(11,0,0),'Настройки'!$B$10,0))</x:f>
      </x:c>
      <x:c r="I124" s="22" t="str">
        <x:f>IF(OR(A124="",C124="",D124=""),"",MAX(((D124-C124)*24)-((G124+H124)/60),0))</x:f>
      </x:c>
      <x:c r="J124" s="22" t="str">
        <x:f>IF(I124="","",MIN(I124,8))</x:f>
      </x:c>
      <x:c r="K124" s="22" t="str">
        <x:f>IF(I124="","",MAX(I124-8,0))</x:f>
      </x:c>
      <x:c r="L124" s="26" t="str">
        <x:f>IF(J124="","",J124*'Настройки'!$B$5)</x:f>
      </x:c>
      <x:c r="M124" s="26" t="str">
        <x:f>IF(K124="","",K124*'Настройки'!$B$6)</x:f>
      </x:c>
      <x:c r="N124" s="22" t="str">
        <x:f>IF(E124="","",MAX(E124-'Настройки'!$B$7,0))</x:f>
      </x:c>
      <x:c r="O124" s="26" t="str">
        <x:f>IF(N124="","",N124*'Настройки'!$B$8)</x:f>
      </x:c>
      <x:c r="P124" s="26" t="str">
        <x:f>IF(L124="","",L124+M124)</x:f>
      </x:c>
      <x:c r="Q124" s="26" t="str">
        <x:f>IF(P124="","",P124+O124)</x:f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654a65f72bc748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0" hidden="0" customWidth="1"/>
    <x:col min="5" max="5" width="13" hidden="0" customWidth="1"/>
    <x:col min="6" max="6" width="13" hidden="0" customWidth="1"/>
    <x:col min="7" max="7" width="18" hidden="0" customWidth="1"/>
    <x:col min="8" max="8" width="20" hidden="0" customWidth="1"/>
    <x:col min="9" max="9" width="12" hidden="0" customWidth="1"/>
    <x:col min="10" max="10" width="12" hidden="0" customWidth="1"/>
    <x:col min="11" max="11" width="10" hidden="0" customWidth="1"/>
    <x:col min="12" max="12" width="13" hidden="0" customWidth="1"/>
  </x:cols>
  <x:sheetData>
    <x:row r="1">
      <x:c r="A1" s="3" t="str">
        <x:v>Недели — пятница → четверг</x:v>
      </x:c>
    </x:row>
    <x:row r="2">
      <x:c r="A2" s="6" t="str">
        <x:v>Created by Azizbay</x:v>
      </x:c>
    </x:row>
    <x:row r="4">
      <x:c r="A4" s="11" t="str">
        <x:v>Старт недели</x:v>
      </x:c>
      <x:c r="B4" s="11" t="str">
        <x:v>Конец недели</x:v>
      </x:c>
      <x:c r="C4" s="11" t="str">
        <x:v>Рабочие дни</x:v>
      </x:c>
      <x:c r="D4" s="11" t="str">
        <x:v>Часы</x:v>
      </x:c>
      <x:c r="E4" s="11" t="str">
        <x:v>Обычные часы</x:v>
      </x:c>
      <x:c r="F4" s="11" t="str">
        <x:v>Овертайм часы</x:v>
      </x:c>
      <x:c r="G4" s="11" t="str">
        <x:v>Обычный заработок (£)</x:v>
      </x:c>
      <x:c r="H4" s="11" t="str">
        <x:v>Овертайм заработок (£)</x:v>
      </x:c>
      <x:c r="I4" s="11" t="str">
        <x:v>Бонусы (£)</x:v>
      </x:c>
      <x:c r="J4" s="11" t="str">
        <x:v>Стандарт кг</x:v>
      </x:c>
      <x:c r="K4" s="11" t="str">
        <x:v>Рабиш кг</x:v>
      </x:c>
      <x:c r="L4" s="11" t="str">
        <x:v>Итого (£)</x:v>
      </x:c>
    </x:row>
    <x:row r="5">
      <x:c r="A5" s="18" t="n">
        <x:v>46199</x:v>
      </x:c>
      <x:c r="B5" s="18" t="n">
        <x:v>46205</x:v>
      </x:c>
      <x:c r="C5" t="n">
        <x:f>COUNTIFS('Рабочие дни'!$A$5:$A$124,"&gt;="&amp;A5,'Рабочие дни'!$A$5:$A$124,"&lt;="&amp;B5)</x:f>
        <x:v>1</x:v>
      </x:c>
      <x:c r="D5" s="22" t="n">
        <x:f>SUMIFS('Рабочие дни'!$I$5:$I$124,'Рабочие дни'!$A$5:$A$124,"&gt;="&amp;A5,'Рабочие дни'!$A$5:$A$124,"&lt;="&amp;B5)</x:f>
        <x:v>11.25</x:v>
      </x:c>
      <x:c r="E5" s="22" t="n">
        <x:f>SUMIFS('Рабочие дни'!$J$5:$J$124,'Рабочие дни'!$A$5:$A$124,"&gt;="&amp;A5,'Рабочие дни'!$A$5:$A$124,"&lt;="&amp;B5)</x:f>
        <x:v>8</x:v>
      </x:c>
      <x:c r="F5" s="22" t="n">
        <x:f>SUMIFS('Рабочие дни'!$K$5:$K$124,'Рабочие дни'!$A$5:$A$124,"&gt;="&amp;A5,'Рабочие дни'!$A$5:$A$124,"&lt;="&amp;B5)</x:f>
        <x:v>3.25</x:v>
      </x:c>
      <x:c r="G5" s="26" t="n">
        <x:f>SUMIFS('Рабочие дни'!$L$5:$L$124,'Рабочие дни'!$A$5:$A$124,"&gt;="&amp;A5,'Рабочие дни'!$A$5:$A$124,"&lt;="&amp;B5)</x:f>
        <x:v>101.68</x:v>
      </x:c>
      <x:c r="H5" s="26" t="n">
        <x:f>SUMIFS('Рабочие дни'!$M$5:$M$124,'Рабочие дни'!$A$5:$A$124,"&gt;="&amp;A5,'Рабочие дни'!$A$5:$A$124,"&lt;="&amp;B5)</x:f>
        <x:v>61.9775</x:v>
      </x:c>
      <x:c r="I5" s="26" t="n">
        <x:f>SUMIFS('Рабочие дни'!$O$5:$O$124,'Рабочие дни'!$A$5:$A$124,"&gt;="&amp;A5,'Рабочие дни'!$A$5:$A$124,"&lt;="&amp;B5)</x:f>
        <x:v>30.75</x:v>
      </x:c>
      <x:c r="J5" s="22" t="n">
        <x:f>SUMIFS('Рабочие дни'!$E$5:$E$124,'Рабочие дни'!$A$5:$A$124,"&gt;="&amp;A5,'Рабочие дни'!$A$5:$A$124,"&lt;="&amp;B5)</x:f>
        <x:v>89</x:v>
      </x:c>
      <x:c r="K5" s="22" t="n">
        <x:f>SUMIFS('Рабочие дни'!$F$5:$F$124,'Рабочие дни'!$A$5:$A$124,"&gt;="&amp;A5,'Рабочие дни'!$A$5:$A$124,"&lt;="&amp;B5)</x:f>
        <x:v>4</x:v>
      </x:c>
      <x:c r="L5" s="26" t="n">
        <x:f>G5+H5+I5</x:f>
        <x:v>194.4075</x:v>
      </x:c>
    </x:row>
    <x:row r="6">
      <x:c r="A6" s="18" t="n">
        <x:v>46206</x:v>
      </x:c>
      <x:c r="B6" s="18" t="n">
        <x:v>46212</x:v>
      </x:c>
      <x:c r="C6" t="n">
        <x:f>COUNTIFS('Рабочие дни'!$A$5:$A$124,"&gt;="&amp;A6,'Рабочие дни'!$A$5:$A$124,"&lt;="&amp;B6)</x:f>
        <x:v>0</x:v>
      </x:c>
      <x:c r="D6" s="22" t="n">
        <x:f>SUMIFS('Рабочие дни'!$I$5:$I$124,'Рабочие дни'!$A$5:$A$124,"&gt;="&amp;A6,'Рабочие дни'!$A$5:$A$124,"&lt;="&amp;B6)</x:f>
        <x:v>0</x:v>
      </x:c>
      <x:c r="E6" s="22" t="n">
        <x:f>SUMIFS('Рабочие дни'!$J$5:$J$124,'Рабочие дни'!$A$5:$A$124,"&gt;="&amp;A6,'Рабочие дни'!$A$5:$A$124,"&lt;="&amp;B6)</x:f>
        <x:v>0</x:v>
      </x:c>
      <x:c r="F6" s="22" t="n">
        <x:f>SUMIFS('Рабочие дни'!$K$5:$K$124,'Рабочие дни'!$A$5:$A$124,"&gt;="&amp;A6,'Рабочие дни'!$A$5:$A$124,"&lt;="&amp;B6)</x:f>
        <x:v>0</x:v>
      </x:c>
      <x:c r="G6" s="26" t="n">
        <x:f>SUMIFS('Рабочие дни'!$L$5:$L$124,'Рабочие дни'!$A$5:$A$124,"&gt;="&amp;A6,'Рабочие дни'!$A$5:$A$124,"&lt;="&amp;B6)</x:f>
        <x:v>0</x:v>
      </x:c>
      <x:c r="H6" s="26" t="n">
        <x:f>SUMIFS('Рабочие дни'!$M$5:$M$124,'Рабочие дни'!$A$5:$A$124,"&gt;="&amp;A6,'Рабочие дни'!$A$5:$A$124,"&lt;="&amp;B6)</x:f>
        <x:v>0</x:v>
      </x:c>
      <x:c r="I6" s="26" t="n">
        <x:f>SUMIFS('Рабочие дни'!$O$5:$O$124,'Рабочие дни'!$A$5:$A$124,"&gt;="&amp;A6,'Рабочие дни'!$A$5:$A$124,"&lt;="&amp;B6)</x:f>
        <x:v>0</x:v>
      </x:c>
      <x:c r="J6" s="22" t="n">
        <x:f>SUMIFS('Рабочие дни'!$E$5:$E$124,'Рабочие дни'!$A$5:$A$124,"&gt;="&amp;A6,'Рабочие дни'!$A$5:$A$124,"&lt;="&amp;B6)</x:f>
        <x:v>0</x:v>
      </x:c>
      <x:c r="K6" s="22" t="n">
        <x:f>SUMIFS('Рабочие дни'!$F$5:$F$124,'Рабочие дни'!$A$5:$A$124,"&gt;="&amp;A6,'Рабочие дни'!$A$5:$A$124,"&lt;="&amp;B6)</x:f>
        <x:v>0</x:v>
      </x:c>
      <x:c r="L6" s="26" t="n">
        <x:f>G6+H6+I6</x:f>
        <x:v>0</x:v>
      </x:c>
    </x:row>
    <x:row r="7">
      <x:c r="A7" s="18" t="n">
        <x:v>46213</x:v>
      </x:c>
      <x:c r="B7" s="18" t="n">
        <x:v>46219</x:v>
      </x:c>
      <x:c r="C7" t="n">
        <x:f>COUNTIFS('Рабочие дни'!$A$5:$A$124,"&gt;="&amp;A7,'Рабочие дни'!$A$5:$A$124,"&lt;="&amp;B7)</x:f>
        <x:v>0</x:v>
      </x:c>
      <x:c r="D7" s="22" t="n">
        <x:f>SUMIFS('Рабочие дни'!$I$5:$I$124,'Рабочие дни'!$A$5:$A$124,"&gt;="&amp;A7,'Рабочие дни'!$A$5:$A$124,"&lt;="&amp;B7)</x:f>
        <x:v>0</x:v>
      </x:c>
      <x:c r="E7" s="22" t="n">
        <x:f>SUMIFS('Рабочие дни'!$J$5:$J$124,'Рабочие дни'!$A$5:$A$124,"&gt;="&amp;A7,'Рабочие дни'!$A$5:$A$124,"&lt;="&amp;B7)</x:f>
        <x:v>0</x:v>
      </x:c>
      <x:c r="F7" s="22" t="n">
        <x:f>SUMIFS('Рабочие дни'!$K$5:$K$124,'Рабочие дни'!$A$5:$A$124,"&gt;="&amp;A7,'Рабочие дни'!$A$5:$A$124,"&lt;="&amp;B7)</x:f>
        <x:v>0</x:v>
      </x:c>
      <x:c r="G7" s="26" t="n">
        <x:f>SUMIFS('Рабочие дни'!$L$5:$L$124,'Рабочие дни'!$A$5:$A$124,"&gt;="&amp;A7,'Рабочие дни'!$A$5:$A$124,"&lt;="&amp;B7)</x:f>
        <x:v>0</x:v>
      </x:c>
      <x:c r="H7" s="26" t="n">
        <x:f>SUMIFS('Рабочие дни'!$M$5:$M$124,'Рабочие дни'!$A$5:$A$124,"&gt;="&amp;A7,'Рабочие дни'!$A$5:$A$124,"&lt;="&amp;B7)</x:f>
        <x:v>0</x:v>
      </x:c>
      <x:c r="I7" s="26" t="n">
        <x:f>SUMIFS('Рабочие дни'!$O$5:$O$124,'Рабочие дни'!$A$5:$A$124,"&gt;="&amp;A7,'Рабочие дни'!$A$5:$A$124,"&lt;="&amp;B7)</x:f>
        <x:v>0</x:v>
      </x:c>
      <x:c r="J7" s="22" t="n">
        <x:f>SUMIFS('Рабочие дни'!$E$5:$E$124,'Рабочие дни'!$A$5:$A$124,"&gt;="&amp;A7,'Рабочие дни'!$A$5:$A$124,"&lt;="&amp;B7)</x:f>
        <x:v>0</x:v>
      </x:c>
      <x:c r="K7" s="22" t="n">
        <x:f>SUMIFS('Рабочие дни'!$F$5:$F$124,'Рабочие дни'!$A$5:$A$124,"&gt;="&amp;A7,'Рабочие дни'!$A$5:$A$124,"&lt;="&amp;B7)</x:f>
        <x:v>0</x:v>
      </x:c>
      <x:c r="L7" s="26" t="n">
        <x:f>G7+H7+I7</x:f>
        <x:v>0</x:v>
      </x:c>
    </x:row>
    <x:row r="8">
      <x:c r="A8" s="18" t="n">
        <x:v>46220</x:v>
      </x:c>
      <x:c r="B8" s="18" t="n">
        <x:v>46226</x:v>
      </x:c>
      <x:c r="C8" t="n">
        <x:f>COUNTIFS('Рабочие дни'!$A$5:$A$124,"&gt;="&amp;A8,'Рабочие дни'!$A$5:$A$124,"&lt;="&amp;B8)</x:f>
        <x:v>0</x:v>
      </x:c>
      <x:c r="D8" s="22" t="n">
        <x:f>SUMIFS('Рабочие дни'!$I$5:$I$124,'Рабочие дни'!$A$5:$A$124,"&gt;="&amp;A8,'Рабочие дни'!$A$5:$A$124,"&lt;="&amp;B8)</x:f>
        <x:v>0</x:v>
      </x:c>
      <x:c r="E8" s="22" t="n">
        <x:f>SUMIFS('Рабочие дни'!$J$5:$J$124,'Рабочие дни'!$A$5:$A$124,"&gt;="&amp;A8,'Рабочие дни'!$A$5:$A$124,"&lt;="&amp;B8)</x:f>
        <x:v>0</x:v>
      </x:c>
      <x:c r="F8" s="22" t="n">
        <x:f>SUMIFS('Рабочие дни'!$K$5:$K$124,'Рабочие дни'!$A$5:$A$124,"&gt;="&amp;A8,'Рабочие дни'!$A$5:$A$124,"&lt;="&amp;B8)</x:f>
        <x:v>0</x:v>
      </x:c>
      <x:c r="G8" s="26" t="n">
        <x:f>SUMIFS('Рабочие дни'!$L$5:$L$124,'Рабочие дни'!$A$5:$A$124,"&gt;="&amp;A8,'Рабочие дни'!$A$5:$A$124,"&lt;="&amp;B8)</x:f>
        <x:v>0</x:v>
      </x:c>
      <x:c r="H8" s="26" t="n">
        <x:f>SUMIFS('Рабочие дни'!$M$5:$M$124,'Рабочие дни'!$A$5:$A$124,"&gt;="&amp;A8,'Рабочие дни'!$A$5:$A$124,"&lt;="&amp;B8)</x:f>
        <x:v>0</x:v>
      </x:c>
      <x:c r="I8" s="26" t="n">
        <x:f>SUMIFS('Рабочие дни'!$O$5:$O$124,'Рабочие дни'!$A$5:$A$124,"&gt;="&amp;A8,'Рабочие дни'!$A$5:$A$124,"&lt;="&amp;B8)</x:f>
        <x:v>0</x:v>
      </x:c>
      <x:c r="J8" s="22" t="n">
        <x:f>SUMIFS('Рабочие дни'!$E$5:$E$124,'Рабочие дни'!$A$5:$A$124,"&gt;="&amp;A8,'Рабочие дни'!$A$5:$A$124,"&lt;="&amp;B8)</x:f>
        <x:v>0</x:v>
      </x:c>
      <x:c r="K8" s="22" t="n">
        <x:f>SUMIFS('Рабочие дни'!$F$5:$F$124,'Рабочие дни'!$A$5:$A$124,"&gt;="&amp;A8,'Рабочие дни'!$A$5:$A$124,"&lt;="&amp;B8)</x:f>
        <x:v>0</x:v>
      </x:c>
      <x:c r="L8" s="26" t="n">
        <x:f>G8+H8+I8</x:f>
        <x:v>0</x:v>
      </x:c>
    </x:row>
    <x:row r="9">
      <x:c r="A9" s="18" t="n">
        <x:v>46227</x:v>
      </x:c>
      <x:c r="B9" s="18" t="n">
        <x:v>46233</x:v>
      </x:c>
      <x:c r="C9" t="n">
        <x:f>COUNTIFS('Рабочие дни'!$A$5:$A$124,"&gt;="&amp;A9,'Рабочие дни'!$A$5:$A$124,"&lt;="&amp;B9)</x:f>
        <x:v>0</x:v>
      </x:c>
      <x:c r="D9" s="22" t="n">
        <x:f>SUMIFS('Рабочие дни'!$I$5:$I$124,'Рабочие дни'!$A$5:$A$124,"&gt;="&amp;A9,'Рабочие дни'!$A$5:$A$124,"&lt;="&amp;B9)</x:f>
        <x:v>0</x:v>
      </x:c>
      <x:c r="E9" s="22" t="n">
        <x:f>SUMIFS('Рабочие дни'!$J$5:$J$124,'Рабочие дни'!$A$5:$A$124,"&gt;="&amp;A9,'Рабочие дни'!$A$5:$A$124,"&lt;="&amp;B9)</x:f>
        <x:v>0</x:v>
      </x:c>
      <x:c r="F9" s="22" t="n">
        <x:f>SUMIFS('Рабочие дни'!$K$5:$K$124,'Рабочие дни'!$A$5:$A$124,"&gt;="&amp;A9,'Рабочие дни'!$A$5:$A$124,"&lt;="&amp;B9)</x:f>
        <x:v>0</x:v>
      </x:c>
      <x:c r="G9" s="26" t="n">
        <x:f>SUMIFS('Рабочие дни'!$L$5:$L$124,'Рабочие дни'!$A$5:$A$124,"&gt;="&amp;A9,'Рабочие дни'!$A$5:$A$124,"&lt;="&amp;B9)</x:f>
        <x:v>0</x:v>
      </x:c>
      <x:c r="H9" s="26" t="n">
        <x:f>SUMIFS('Рабочие дни'!$M$5:$M$124,'Рабочие дни'!$A$5:$A$124,"&gt;="&amp;A9,'Рабочие дни'!$A$5:$A$124,"&lt;="&amp;B9)</x:f>
        <x:v>0</x:v>
      </x:c>
      <x:c r="I9" s="26" t="n">
        <x:f>SUMIFS('Рабочие дни'!$O$5:$O$124,'Рабочие дни'!$A$5:$A$124,"&gt;="&amp;A9,'Рабочие дни'!$A$5:$A$124,"&lt;="&amp;B9)</x:f>
        <x:v>0</x:v>
      </x:c>
      <x:c r="J9" s="22" t="n">
        <x:f>SUMIFS('Рабочие дни'!$E$5:$E$124,'Рабочие дни'!$A$5:$A$124,"&gt;="&amp;A9,'Рабочие дни'!$A$5:$A$124,"&lt;="&amp;B9)</x:f>
        <x:v>0</x:v>
      </x:c>
      <x:c r="K9" s="22" t="n">
        <x:f>SUMIFS('Рабочие дни'!$F$5:$F$124,'Рабочие дни'!$A$5:$A$124,"&gt;="&amp;A9,'Рабочие дни'!$A$5:$A$124,"&lt;="&amp;B9)</x:f>
        <x:v>0</x:v>
      </x:c>
      <x:c r="L9" s="26" t="n">
        <x:f>G9+H9+I9</x:f>
        <x:v>0</x:v>
      </x:c>
    </x:row>
    <x:row r="10">
      <x:c r="A10" s="18" t="n">
        <x:v>46234</x:v>
      </x:c>
      <x:c r="B10" s="18" t="n">
        <x:v>46240</x:v>
      </x:c>
      <x:c r="C10" t="n">
        <x:f>COUNTIFS('Рабочие дни'!$A$5:$A$124,"&gt;="&amp;A10,'Рабочие дни'!$A$5:$A$124,"&lt;="&amp;B10)</x:f>
        <x:v>0</x:v>
      </x:c>
      <x:c r="D10" s="22" t="n">
        <x:f>SUMIFS('Рабочие дни'!$I$5:$I$124,'Рабочие дни'!$A$5:$A$124,"&gt;="&amp;A10,'Рабочие дни'!$A$5:$A$124,"&lt;="&amp;B10)</x:f>
        <x:v>0</x:v>
      </x:c>
      <x:c r="E10" s="22" t="n">
        <x:f>SUMIFS('Рабочие дни'!$J$5:$J$124,'Рабочие дни'!$A$5:$A$124,"&gt;="&amp;A10,'Рабочие дни'!$A$5:$A$124,"&lt;="&amp;B10)</x:f>
        <x:v>0</x:v>
      </x:c>
      <x:c r="F10" s="22" t="n">
        <x:f>SUMIFS('Рабочие дни'!$K$5:$K$124,'Рабочие дни'!$A$5:$A$124,"&gt;="&amp;A10,'Рабочие дни'!$A$5:$A$124,"&lt;="&amp;B10)</x:f>
        <x:v>0</x:v>
      </x:c>
      <x:c r="G10" s="26" t="n">
        <x:f>SUMIFS('Рабочие дни'!$L$5:$L$124,'Рабочие дни'!$A$5:$A$124,"&gt;="&amp;A10,'Рабочие дни'!$A$5:$A$124,"&lt;="&amp;B10)</x:f>
        <x:v>0</x:v>
      </x:c>
      <x:c r="H10" s="26" t="n">
        <x:f>SUMIFS('Рабочие дни'!$M$5:$M$124,'Рабочие дни'!$A$5:$A$124,"&gt;="&amp;A10,'Рабочие дни'!$A$5:$A$124,"&lt;="&amp;B10)</x:f>
        <x:v>0</x:v>
      </x:c>
      <x:c r="I10" s="26" t="n">
        <x:f>SUMIFS('Рабочие дни'!$O$5:$O$124,'Рабочие дни'!$A$5:$A$124,"&gt;="&amp;A10,'Рабочие дни'!$A$5:$A$124,"&lt;="&amp;B10)</x:f>
        <x:v>0</x:v>
      </x:c>
      <x:c r="J10" s="22" t="n">
        <x:f>SUMIFS('Рабочие дни'!$E$5:$E$124,'Рабочие дни'!$A$5:$A$124,"&gt;="&amp;A10,'Рабочие дни'!$A$5:$A$124,"&lt;="&amp;B10)</x:f>
        <x:v>0</x:v>
      </x:c>
      <x:c r="K10" s="22" t="n">
        <x:f>SUMIFS('Рабочие дни'!$F$5:$F$124,'Рабочие дни'!$A$5:$A$124,"&gt;="&amp;A10,'Рабочие дни'!$A$5:$A$124,"&lt;="&amp;B10)</x:f>
        <x:v>0</x:v>
      </x:c>
      <x:c r="L10" s="26" t="n">
        <x:f>G10+H10+I10</x:f>
        <x:v>0</x:v>
      </x:c>
    </x:row>
    <x:row r="11">
      <x:c r="A11" s="18" t="n">
        <x:v>46241</x:v>
      </x:c>
      <x:c r="B11" s="18" t="n">
        <x:v>46247</x:v>
      </x:c>
      <x:c r="C11" t="n">
        <x:f>COUNTIFS('Рабочие дни'!$A$5:$A$124,"&gt;="&amp;A11,'Рабочие дни'!$A$5:$A$124,"&lt;="&amp;B11)</x:f>
        <x:v>0</x:v>
      </x:c>
      <x:c r="D11" s="22" t="n">
        <x:f>SUMIFS('Рабочие дни'!$I$5:$I$124,'Рабочие дни'!$A$5:$A$124,"&gt;="&amp;A11,'Рабочие дни'!$A$5:$A$124,"&lt;="&amp;B11)</x:f>
        <x:v>0</x:v>
      </x:c>
      <x:c r="E11" s="22" t="n">
        <x:f>SUMIFS('Рабочие дни'!$J$5:$J$124,'Рабочие дни'!$A$5:$A$124,"&gt;="&amp;A11,'Рабочие дни'!$A$5:$A$124,"&lt;="&amp;B11)</x:f>
        <x:v>0</x:v>
      </x:c>
      <x:c r="F11" s="22" t="n">
        <x:f>SUMIFS('Рабочие дни'!$K$5:$K$124,'Рабочие дни'!$A$5:$A$124,"&gt;="&amp;A11,'Рабочие дни'!$A$5:$A$124,"&lt;="&amp;B11)</x:f>
        <x:v>0</x:v>
      </x:c>
      <x:c r="G11" s="26" t="n">
        <x:f>SUMIFS('Рабочие дни'!$L$5:$L$124,'Рабочие дни'!$A$5:$A$124,"&gt;="&amp;A11,'Рабочие дни'!$A$5:$A$124,"&lt;="&amp;B11)</x:f>
        <x:v>0</x:v>
      </x:c>
      <x:c r="H11" s="26" t="n">
        <x:f>SUMIFS('Рабочие дни'!$M$5:$M$124,'Рабочие дни'!$A$5:$A$124,"&gt;="&amp;A11,'Рабочие дни'!$A$5:$A$124,"&lt;="&amp;B11)</x:f>
        <x:v>0</x:v>
      </x:c>
      <x:c r="I11" s="26" t="n">
        <x:f>SUMIFS('Рабочие дни'!$O$5:$O$124,'Рабочие дни'!$A$5:$A$124,"&gt;="&amp;A11,'Рабочие дни'!$A$5:$A$124,"&lt;="&amp;B11)</x:f>
        <x:v>0</x:v>
      </x:c>
      <x:c r="J11" s="22" t="n">
        <x:f>SUMIFS('Рабочие дни'!$E$5:$E$124,'Рабочие дни'!$A$5:$A$124,"&gt;="&amp;A11,'Рабочие дни'!$A$5:$A$124,"&lt;="&amp;B11)</x:f>
        <x:v>0</x:v>
      </x:c>
      <x:c r="K11" s="22" t="n">
        <x:f>SUMIFS('Рабочие дни'!$F$5:$F$124,'Рабочие дни'!$A$5:$A$124,"&gt;="&amp;A11,'Рабочие дни'!$A$5:$A$124,"&lt;="&amp;B11)</x:f>
        <x:v>0</x:v>
      </x:c>
      <x:c r="L11" s="26" t="n">
        <x:f>G11+H11+I11</x:f>
        <x:v>0</x:v>
      </x:c>
    </x:row>
    <x:row r="12">
      <x:c r="A12" s="18" t="n">
        <x:v>46248</x:v>
      </x:c>
      <x:c r="B12" s="18" t="n">
        <x:v>46254</x:v>
      </x:c>
      <x:c r="C12" t="n">
        <x:f>COUNTIFS('Рабочие дни'!$A$5:$A$124,"&gt;="&amp;A12,'Рабочие дни'!$A$5:$A$124,"&lt;="&amp;B12)</x:f>
        <x:v>0</x:v>
      </x:c>
      <x:c r="D12" s="22" t="n">
        <x:f>SUMIFS('Рабочие дни'!$I$5:$I$124,'Рабочие дни'!$A$5:$A$124,"&gt;="&amp;A12,'Рабочие дни'!$A$5:$A$124,"&lt;="&amp;B12)</x:f>
        <x:v>0</x:v>
      </x:c>
      <x:c r="E12" s="22" t="n">
        <x:f>SUMIFS('Рабочие дни'!$J$5:$J$124,'Рабочие дни'!$A$5:$A$124,"&gt;="&amp;A12,'Рабочие дни'!$A$5:$A$124,"&lt;="&amp;B12)</x:f>
        <x:v>0</x:v>
      </x:c>
      <x:c r="F12" s="22" t="n">
        <x:f>SUMIFS('Рабочие дни'!$K$5:$K$124,'Рабочие дни'!$A$5:$A$124,"&gt;="&amp;A12,'Рабочие дни'!$A$5:$A$124,"&lt;="&amp;B12)</x:f>
        <x:v>0</x:v>
      </x:c>
      <x:c r="G12" s="26" t="n">
        <x:f>SUMIFS('Рабочие дни'!$L$5:$L$124,'Рабочие дни'!$A$5:$A$124,"&gt;="&amp;A12,'Рабочие дни'!$A$5:$A$124,"&lt;="&amp;B12)</x:f>
        <x:v>0</x:v>
      </x:c>
      <x:c r="H12" s="26" t="n">
        <x:f>SUMIFS('Рабочие дни'!$M$5:$M$124,'Рабочие дни'!$A$5:$A$124,"&gt;="&amp;A12,'Рабочие дни'!$A$5:$A$124,"&lt;="&amp;B12)</x:f>
        <x:v>0</x:v>
      </x:c>
      <x:c r="I12" s="26" t="n">
        <x:f>SUMIFS('Рабочие дни'!$O$5:$O$124,'Рабочие дни'!$A$5:$A$124,"&gt;="&amp;A12,'Рабочие дни'!$A$5:$A$124,"&lt;="&amp;B12)</x:f>
        <x:v>0</x:v>
      </x:c>
      <x:c r="J12" s="22" t="n">
        <x:f>SUMIFS('Рабочие дни'!$E$5:$E$124,'Рабочие дни'!$A$5:$A$124,"&gt;="&amp;A12,'Рабочие дни'!$A$5:$A$124,"&lt;="&amp;B12)</x:f>
        <x:v>0</x:v>
      </x:c>
      <x:c r="K12" s="22" t="n">
        <x:f>SUMIFS('Рабочие дни'!$F$5:$F$124,'Рабочие дни'!$A$5:$A$124,"&gt;="&amp;A12,'Рабочие дни'!$A$5:$A$124,"&lt;="&amp;B12)</x:f>
        <x:v>0</x:v>
      </x:c>
      <x:c r="L12" s="26" t="n">
        <x:f>G12+H12+I12</x:f>
        <x:v>0</x:v>
      </x:c>
    </x:row>
    <x:row r="13">
      <x:c r="A13" s="18" t="n">
        <x:v>46255</x:v>
      </x:c>
      <x:c r="B13" s="18" t="n">
        <x:v>46261</x:v>
      </x:c>
      <x:c r="C13" t="n">
        <x:f>COUNTIFS('Рабочие дни'!$A$5:$A$124,"&gt;="&amp;A13,'Рабочие дни'!$A$5:$A$124,"&lt;="&amp;B13)</x:f>
        <x:v>0</x:v>
      </x:c>
      <x:c r="D13" s="22" t="n">
        <x:f>SUMIFS('Рабочие дни'!$I$5:$I$124,'Рабочие дни'!$A$5:$A$124,"&gt;="&amp;A13,'Рабочие дни'!$A$5:$A$124,"&lt;="&amp;B13)</x:f>
        <x:v>0</x:v>
      </x:c>
      <x:c r="E13" s="22" t="n">
        <x:f>SUMIFS('Рабочие дни'!$J$5:$J$124,'Рабочие дни'!$A$5:$A$124,"&gt;="&amp;A13,'Рабочие дни'!$A$5:$A$124,"&lt;="&amp;B13)</x:f>
        <x:v>0</x:v>
      </x:c>
      <x:c r="F13" s="22" t="n">
        <x:f>SUMIFS('Рабочие дни'!$K$5:$K$124,'Рабочие дни'!$A$5:$A$124,"&gt;="&amp;A13,'Рабочие дни'!$A$5:$A$124,"&lt;="&amp;B13)</x:f>
        <x:v>0</x:v>
      </x:c>
      <x:c r="G13" s="26" t="n">
        <x:f>SUMIFS('Рабочие дни'!$L$5:$L$124,'Рабочие дни'!$A$5:$A$124,"&gt;="&amp;A13,'Рабочие дни'!$A$5:$A$124,"&lt;="&amp;B13)</x:f>
        <x:v>0</x:v>
      </x:c>
      <x:c r="H13" s="26" t="n">
        <x:f>SUMIFS('Рабочие дни'!$M$5:$M$124,'Рабочие дни'!$A$5:$A$124,"&gt;="&amp;A13,'Рабочие дни'!$A$5:$A$124,"&lt;="&amp;B13)</x:f>
        <x:v>0</x:v>
      </x:c>
      <x:c r="I13" s="26" t="n">
        <x:f>SUMIFS('Рабочие дни'!$O$5:$O$124,'Рабочие дни'!$A$5:$A$124,"&gt;="&amp;A13,'Рабочие дни'!$A$5:$A$124,"&lt;="&amp;B13)</x:f>
        <x:v>0</x:v>
      </x:c>
      <x:c r="J13" s="22" t="n">
        <x:f>SUMIFS('Рабочие дни'!$E$5:$E$124,'Рабочие дни'!$A$5:$A$124,"&gt;="&amp;A13,'Рабочие дни'!$A$5:$A$124,"&lt;="&amp;B13)</x:f>
        <x:v>0</x:v>
      </x:c>
      <x:c r="K13" s="22" t="n">
        <x:f>SUMIFS('Рабочие дни'!$F$5:$F$124,'Рабочие дни'!$A$5:$A$124,"&gt;="&amp;A13,'Рабочие дни'!$A$5:$A$124,"&lt;="&amp;B13)</x:f>
        <x:v>0</x:v>
      </x:c>
      <x:c r="L13" s="26" t="n">
        <x:f>G13+H13+I13</x:f>
        <x:v>0</x:v>
      </x:c>
    </x:row>
    <x:row r="14">
      <x:c r="A14" s="18" t="n">
        <x:v>46262</x:v>
      </x:c>
      <x:c r="B14" s="18" t="n">
        <x:v>46268</x:v>
      </x:c>
      <x:c r="C14" t="n">
        <x:f>COUNTIFS('Рабочие дни'!$A$5:$A$124,"&gt;="&amp;A14,'Рабочие дни'!$A$5:$A$124,"&lt;="&amp;B14)</x:f>
        <x:v>0</x:v>
      </x:c>
      <x:c r="D14" s="22" t="n">
        <x:f>SUMIFS('Рабочие дни'!$I$5:$I$124,'Рабочие дни'!$A$5:$A$124,"&gt;="&amp;A14,'Рабочие дни'!$A$5:$A$124,"&lt;="&amp;B14)</x:f>
        <x:v>0</x:v>
      </x:c>
      <x:c r="E14" s="22" t="n">
        <x:f>SUMIFS('Рабочие дни'!$J$5:$J$124,'Рабочие дни'!$A$5:$A$124,"&gt;="&amp;A14,'Рабочие дни'!$A$5:$A$124,"&lt;="&amp;B14)</x:f>
        <x:v>0</x:v>
      </x:c>
      <x:c r="F14" s="22" t="n">
        <x:f>SUMIFS('Рабочие дни'!$K$5:$K$124,'Рабочие дни'!$A$5:$A$124,"&gt;="&amp;A14,'Рабочие дни'!$A$5:$A$124,"&lt;="&amp;B14)</x:f>
        <x:v>0</x:v>
      </x:c>
      <x:c r="G14" s="26" t="n">
        <x:f>SUMIFS('Рабочие дни'!$L$5:$L$124,'Рабочие дни'!$A$5:$A$124,"&gt;="&amp;A14,'Рабочие дни'!$A$5:$A$124,"&lt;="&amp;B14)</x:f>
        <x:v>0</x:v>
      </x:c>
      <x:c r="H14" s="26" t="n">
        <x:f>SUMIFS('Рабочие дни'!$M$5:$M$124,'Рабочие дни'!$A$5:$A$124,"&gt;="&amp;A14,'Рабочие дни'!$A$5:$A$124,"&lt;="&amp;B14)</x:f>
        <x:v>0</x:v>
      </x:c>
      <x:c r="I14" s="26" t="n">
        <x:f>SUMIFS('Рабочие дни'!$O$5:$O$124,'Рабочие дни'!$A$5:$A$124,"&gt;="&amp;A14,'Рабочие дни'!$A$5:$A$124,"&lt;="&amp;B14)</x:f>
        <x:v>0</x:v>
      </x:c>
      <x:c r="J14" s="22" t="n">
        <x:f>SUMIFS('Рабочие дни'!$E$5:$E$124,'Рабочие дни'!$A$5:$A$124,"&gt;="&amp;A14,'Рабочие дни'!$A$5:$A$124,"&lt;="&amp;B14)</x:f>
        <x:v>0</x:v>
      </x:c>
      <x:c r="K14" s="22" t="n">
        <x:f>SUMIFS('Рабочие дни'!$F$5:$F$124,'Рабочие дни'!$A$5:$A$124,"&gt;="&amp;A14,'Рабочие дни'!$A$5:$A$124,"&lt;="&amp;B14)</x:f>
        <x:v>0</x:v>
      </x:c>
      <x:c r="L14" s="26" t="n">
        <x:f>G14+H14+I14</x:f>
        <x:v>0</x:v>
      </x:c>
    </x:row>
    <x:row r="15">
      <x:c r="A15" s="18" t="n">
        <x:v>46269</x:v>
      </x:c>
      <x:c r="B15" s="18" t="n">
        <x:v>46275</x:v>
      </x:c>
      <x:c r="C15" t="n">
        <x:f>COUNTIFS('Рабочие дни'!$A$5:$A$124,"&gt;="&amp;A15,'Рабочие дни'!$A$5:$A$124,"&lt;="&amp;B15)</x:f>
        <x:v>0</x:v>
      </x:c>
      <x:c r="D15" s="22" t="n">
        <x:f>SUMIFS('Рабочие дни'!$I$5:$I$124,'Рабочие дни'!$A$5:$A$124,"&gt;="&amp;A15,'Рабочие дни'!$A$5:$A$124,"&lt;="&amp;B15)</x:f>
        <x:v>0</x:v>
      </x:c>
      <x:c r="E15" s="22" t="n">
        <x:f>SUMIFS('Рабочие дни'!$J$5:$J$124,'Рабочие дни'!$A$5:$A$124,"&gt;="&amp;A15,'Рабочие дни'!$A$5:$A$124,"&lt;="&amp;B15)</x:f>
        <x:v>0</x:v>
      </x:c>
      <x:c r="F15" s="22" t="n">
        <x:f>SUMIFS('Рабочие дни'!$K$5:$K$124,'Рабочие дни'!$A$5:$A$124,"&gt;="&amp;A15,'Рабочие дни'!$A$5:$A$124,"&lt;="&amp;B15)</x:f>
        <x:v>0</x:v>
      </x:c>
      <x:c r="G15" s="26" t="n">
        <x:f>SUMIFS('Рабочие дни'!$L$5:$L$124,'Рабочие дни'!$A$5:$A$124,"&gt;="&amp;A15,'Рабочие дни'!$A$5:$A$124,"&lt;="&amp;B15)</x:f>
        <x:v>0</x:v>
      </x:c>
      <x:c r="H15" s="26" t="n">
        <x:f>SUMIFS('Рабочие дни'!$M$5:$M$124,'Рабочие дни'!$A$5:$A$124,"&gt;="&amp;A15,'Рабочие дни'!$A$5:$A$124,"&lt;="&amp;B15)</x:f>
        <x:v>0</x:v>
      </x:c>
      <x:c r="I15" s="26" t="n">
        <x:f>SUMIFS('Рабочие дни'!$O$5:$O$124,'Рабочие дни'!$A$5:$A$124,"&gt;="&amp;A15,'Рабочие дни'!$A$5:$A$124,"&lt;="&amp;B15)</x:f>
        <x:v>0</x:v>
      </x:c>
      <x:c r="J15" s="22" t="n">
        <x:f>SUMIFS('Рабочие дни'!$E$5:$E$124,'Рабочие дни'!$A$5:$A$124,"&gt;="&amp;A15,'Рабочие дни'!$A$5:$A$124,"&lt;="&amp;B15)</x:f>
        <x:v>0</x:v>
      </x:c>
      <x:c r="K15" s="22" t="n">
        <x:f>SUMIFS('Рабочие дни'!$F$5:$F$124,'Рабочие дни'!$A$5:$A$124,"&gt;="&amp;A15,'Рабочие дни'!$A$5:$A$124,"&lt;="&amp;B15)</x:f>
        <x:v>0</x:v>
      </x:c>
      <x:c r="L15" s="26" t="n">
        <x:f>G15+H15+I15</x:f>
        <x:v>0</x:v>
      </x:c>
    </x:row>
    <x:row r="16">
      <x:c r="A16" s="18" t="n">
        <x:v>46276</x:v>
      </x:c>
      <x:c r="B16" s="18" t="n">
        <x:v>46282</x:v>
      </x:c>
      <x:c r="C16" t="n">
        <x:f>COUNTIFS('Рабочие дни'!$A$5:$A$124,"&gt;="&amp;A16,'Рабочие дни'!$A$5:$A$124,"&lt;="&amp;B16)</x:f>
        <x:v>0</x:v>
      </x:c>
      <x:c r="D16" s="22" t="n">
        <x:f>SUMIFS('Рабочие дни'!$I$5:$I$124,'Рабочие дни'!$A$5:$A$124,"&gt;="&amp;A16,'Рабочие дни'!$A$5:$A$124,"&lt;="&amp;B16)</x:f>
        <x:v>0</x:v>
      </x:c>
      <x:c r="E16" s="22" t="n">
        <x:f>SUMIFS('Рабочие дни'!$J$5:$J$124,'Рабочие дни'!$A$5:$A$124,"&gt;="&amp;A16,'Рабочие дни'!$A$5:$A$124,"&lt;="&amp;B16)</x:f>
        <x:v>0</x:v>
      </x:c>
      <x:c r="F16" s="22" t="n">
        <x:f>SUMIFS('Рабочие дни'!$K$5:$K$124,'Рабочие дни'!$A$5:$A$124,"&gt;="&amp;A16,'Рабочие дни'!$A$5:$A$124,"&lt;="&amp;B16)</x:f>
        <x:v>0</x:v>
      </x:c>
      <x:c r="G16" s="26" t="n">
        <x:f>SUMIFS('Рабочие дни'!$L$5:$L$124,'Рабочие дни'!$A$5:$A$124,"&gt;="&amp;A16,'Рабочие дни'!$A$5:$A$124,"&lt;="&amp;B16)</x:f>
        <x:v>0</x:v>
      </x:c>
      <x:c r="H16" s="26" t="n">
        <x:f>SUMIFS('Рабочие дни'!$M$5:$M$124,'Рабочие дни'!$A$5:$A$124,"&gt;="&amp;A16,'Рабочие дни'!$A$5:$A$124,"&lt;="&amp;B16)</x:f>
        <x:v>0</x:v>
      </x:c>
      <x:c r="I16" s="26" t="n">
        <x:f>SUMIFS('Рабочие дни'!$O$5:$O$124,'Рабочие дни'!$A$5:$A$124,"&gt;="&amp;A16,'Рабочие дни'!$A$5:$A$124,"&lt;="&amp;B16)</x:f>
        <x:v>0</x:v>
      </x:c>
      <x:c r="J16" s="22" t="n">
        <x:f>SUMIFS('Рабочие дни'!$E$5:$E$124,'Рабочие дни'!$A$5:$A$124,"&gt;="&amp;A16,'Рабочие дни'!$A$5:$A$124,"&lt;="&amp;B16)</x:f>
        <x:v>0</x:v>
      </x:c>
      <x:c r="K16" s="22" t="n">
        <x:f>SUMIFS('Рабочие дни'!$F$5:$F$124,'Рабочие дни'!$A$5:$A$124,"&gt;="&amp;A16,'Рабочие дни'!$A$5:$A$124,"&lt;="&amp;B16)</x:f>
        <x:v>0</x:v>
      </x:c>
      <x:c r="L16" s="26" t="n">
        <x:f>G16+H16+I16</x:f>
        <x:v>0</x:v>
      </x:c>
    </x:row>
    <x:row r="17">
      <x:c r="A17" s="18" t="n">
        <x:v>46283</x:v>
      </x:c>
      <x:c r="B17" s="18" t="n">
        <x:v>46289</x:v>
      </x:c>
      <x:c r="C17" t="n">
        <x:f>COUNTIFS('Рабочие дни'!$A$5:$A$124,"&gt;="&amp;A17,'Рабочие дни'!$A$5:$A$124,"&lt;="&amp;B17)</x:f>
        <x:v>0</x:v>
      </x:c>
      <x:c r="D17" s="22" t="n">
        <x:f>SUMIFS('Рабочие дни'!$I$5:$I$124,'Рабочие дни'!$A$5:$A$124,"&gt;="&amp;A17,'Рабочие дни'!$A$5:$A$124,"&lt;="&amp;B17)</x:f>
        <x:v>0</x:v>
      </x:c>
      <x:c r="E17" s="22" t="n">
        <x:f>SUMIFS('Рабочие дни'!$J$5:$J$124,'Рабочие дни'!$A$5:$A$124,"&gt;="&amp;A17,'Рабочие дни'!$A$5:$A$124,"&lt;="&amp;B17)</x:f>
        <x:v>0</x:v>
      </x:c>
      <x:c r="F17" s="22" t="n">
        <x:f>SUMIFS('Рабочие дни'!$K$5:$K$124,'Рабочие дни'!$A$5:$A$124,"&gt;="&amp;A17,'Рабочие дни'!$A$5:$A$124,"&lt;="&amp;B17)</x:f>
        <x:v>0</x:v>
      </x:c>
      <x:c r="G17" s="26" t="n">
        <x:f>SUMIFS('Рабочие дни'!$L$5:$L$124,'Рабочие дни'!$A$5:$A$124,"&gt;="&amp;A17,'Рабочие дни'!$A$5:$A$124,"&lt;="&amp;B17)</x:f>
        <x:v>0</x:v>
      </x:c>
      <x:c r="H17" s="26" t="n">
        <x:f>SUMIFS('Рабочие дни'!$M$5:$M$124,'Рабочие дни'!$A$5:$A$124,"&gt;="&amp;A17,'Рабочие дни'!$A$5:$A$124,"&lt;="&amp;B17)</x:f>
        <x:v>0</x:v>
      </x:c>
      <x:c r="I17" s="26" t="n">
        <x:f>SUMIFS('Рабочие дни'!$O$5:$O$124,'Рабочие дни'!$A$5:$A$124,"&gt;="&amp;A17,'Рабочие дни'!$A$5:$A$124,"&lt;="&amp;B17)</x:f>
        <x:v>0</x:v>
      </x:c>
      <x:c r="J17" s="22" t="n">
        <x:f>SUMIFS('Рабочие дни'!$E$5:$E$124,'Рабочие дни'!$A$5:$A$124,"&gt;="&amp;A17,'Рабочие дни'!$A$5:$A$124,"&lt;="&amp;B17)</x:f>
        <x:v>0</x:v>
      </x:c>
      <x:c r="K17" s="22" t="n">
        <x:f>SUMIFS('Рабочие дни'!$F$5:$F$124,'Рабочие дни'!$A$5:$A$124,"&gt;="&amp;A17,'Рабочие дни'!$A$5:$A$124,"&lt;="&amp;B17)</x:f>
        <x:v>0</x:v>
      </x:c>
      <x:c r="L17" s="26" t="n">
        <x:f>G17+H17+I17</x:f>
        <x:v>0</x:v>
      </x:c>
    </x:row>
    <x:row r="18">
      <x:c r="A18" s="18" t="n">
        <x:v>46290</x:v>
      </x:c>
      <x:c r="B18" s="18" t="n">
        <x:v>46296</x:v>
      </x:c>
      <x:c r="C18" t="n">
        <x:f>COUNTIFS('Рабочие дни'!$A$5:$A$124,"&gt;="&amp;A18,'Рабочие дни'!$A$5:$A$124,"&lt;="&amp;B18)</x:f>
        <x:v>0</x:v>
      </x:c>
      <x:c r="D18" s="22" t="n">
        <x:f>SUMIFS('Рабочие дни'!$I$5:$I$124,'Рабочие дни'!$A$5:$A$124,"&gt;="&amp;A18,'Рабочие дни'!$A$5:$A$124,"&lt;="&amp;B18)</x:f>
        <x:v>0</x:v>
      </x:c>
      <x:c r="E18" s="22" t="n">
        <x:f>SUMIFS('Рабочие дни'!$J$5:$J$124,'Рабочие дни'!$A$5:$A$124,"&gt;="&amp;A18,'Рабочие дни'!$A$5:$A$124,"&lt;="&amp;B18)</x:f>
        <x:v>0</x:v>
      </x:c>
      <x:c r="F18" s="22" t="n">
        <x:f>SUMIFS('Рабочие дни'!$K$5:$K$124,'Рабочие дни'!$A$5:$A$124,"&gt;="&amp;A18,'Рабочие дни'!$A$5:$A$124,"&lt;="&amp;B18)</x:f>
        <x:v>0</x:v>
      </x:c>
      <x:c r="G18" s="26" t="n">
        <x:f>SUMIFS('Рабочие дни'!$L$5:$L$124,'Рабочие дни'!$A$5:$A$124,"&gt;="&amp;A18,'Рабочие дни'!$A$5:$A$124,"&lt;="&amp;B18)</x:f>
        <x:v>0</x:v>
      </x:c>
      <x:c r="H18" s="26" t="n">
        <x:f>SUMIFS('Рабочие дни'!$M$5:$M$124,'Рабочие дни'!$A$5:$A$124,"&gt;="&amp;A18,'Рабочие дни'!$A$5:$A$124,"&lt;="&amp;B18)</x:f>
        <x:v>0</x:v>
      </x:c>
      <x:c r="I18" s="26" t="n">
        <x:f>SUMIFS('Рабочие дни'!$O$5:$O$124,'Рабочие дни'!$A$5:$A$124,"&gt;="&amp;A18,'Рабочие дни'!$A$5:$A$124,"&lt;="&amp;B18)</x:f>
        <x:v>0</x:v>
      </x:c>
      <x:c r="J18" s="22" t="n">
        <x:f>SUMIFS('Рабочие дни'!$E$5:$E$124,'Рабочие дни'!$A$5:$A$124,"&gt;="&amp;A18,'Рабочие дни'!$A$5:$A$124,"&lt;="&amp;B18)</x:f>
        <x:v>0</x:v>
      </x:c>
      <x:c r="K18" s="22" t="n">
        <x:f>SUMIFS('Рабочие дни'!$F$5:$F$124,'Рабочие дни'!$A$5:$A$124,"&gt;="&amp;A18,'Рабочие дни'!$A$5:$A$124,"&lt;="&amp;B18)</x:f>
        <x:v>0</x:v>
      </x:c>
      <x:c r="L18" s="26" t="n">
        <x:f>G18+H18+I18</x:f>
        <x:v>0</x:v>
      </x:c>
    </x:row>
    <x:row r="19">
      <x:c r="A19" s="18" t="n">
        <x:v>46297</x:v>
      </x:c>
      <x:c r="B19" s="18" t="n">
        <x:v>46303</x:v>
      </x:c>
      <x:c r="C19" t="n">
        <x:f>COUNTIFS('Рабочие дни'!$A$5:$A$124,"&gt;="&amp;A19,'Рабочие дни'!$A$5:$A$124,"&lt;="&amp;B19)</x:f>
        <x:v>0</x:v>
      </x:c>
      <x:c r="D19" s="22" t="n">
        <x:f>SUMIFS('Рабочие дни'!$I$5:$I$124,'Рабочие дни'!$A$5:$A$124,"&gt;="&amp;A19,'Рабочие дни'!$A$5:$A$124,"&lt;="&amp;B19)</x:f>
        <x:v>0</x:v>
      </x:c>
      <x:c r="E19" s="22" t="n">
        <x:f>SUMIFS('Рабочие дни'!$J$5:$J$124,'Рабочие дни'!$A$5:$A$124,"&gt;="&amp;A19,'Рабочие дни'!$A$5:$A$124,"&lt;="&amp;B19)</x:f>
        <x:v>0</x:v>
      </x:c>
      <x:c r="F19" s="22" t="n">
        <x:f>SUMIFS('Рабочие дни'!$K$5:$K$124,'Рабочие дни'!$A$5:$A$124,"&gt;="&amp;A19,'Рабочие дни'!$A$5:$A$124,"&lt;="&amp;B19)</x:f>
        <x:v>0</x:v>
      </x:c>
      <x:c r="G19" s="26" t="n">
        <x:f>SUMIFS('Рабочие дни'!$L$5:$L$124,'Рабочие дни'!$A$5:$A$124,"&gt;="&amp;A19,'Рабочие дни'!$A$5:$A$124,"&lt;="&amp;B19)</x:f>
        <x:v>0</x:v>
      </x:c>
      <x:c r="H19" s="26" t="n">
        <x:f>SUMIFS('Рабочие дни'!$M$5:$M$124,'Рабочие дни'!$A$5:$A$124,"&gt;="&amp;A19,'Рабочие дни'!$A$5:$A$124,"&lt;="&amp;B19)</x:f>
        <x:v>0</x:v>
      </x:c>
      <x:c r="I19" s="26" t="n">
        <x:f>SUMIFS('Рабочие дни'!$O$5:$O$124,'Рабочие дни'!$A$5:$A$124,"&gt;="&amp;A19,'Рабочие дни'!$A$5:$A$124,"&lt;="&amp;B19)</x:f>
        <x:v>0</x:v>
      </x:c>
      <x:c r="J19" s="22" t="n">
        <x:f>SUMIFS('Рабочие дни'!$E$5:$E$124,'Рабочие дни'!$A$5:$A$124,"&gt;="&amp;A19,'Рабочие дни'!$A$5:$A$124,"&lt;="&amp;B19)</x:f>
        <x:v>0</x:v>
      </x:c>
      <x:c r="K19" s="22" t="n">
        <x:f>SUMIFS('Рабочие дни'!$F$5:$F$124,'Рабочие дни'!$A$5:$A$124,"&gt;="&amp;A19,'Рабочие дни'!$A$5:$A$124,"&lt;="&amp;B19)</x:f>
        <x:v>0</x:v>
      </x:c>
      <x:c r="L19" s="26" t="n">
        <x:f>G19+H19+I19</x:f>
        <x:v>0</x:v>
      </x:c>
    </x:row>
    <x:row r="20">
      <x:c r="A20" s="18" t="n">
        <x:v>46304</x:v>
      </x:c>
      <x:c r="B20" s="18" t="n">
        <x:v>46310</x:v>
      </x:c>
      <x:c r="C20" t="n">
        <x:f>COUNTIFS('Рабочие дни'!$A$5:$A$124,"&gt;="&amp;A20,'Рабочие дни'!$A$5:$A$124,"&lt;="&amp;B20)</x:f>
        <x:v>0</x:v>
      </x:c>
      <x:c r="D20" s="22" t="n">
        <x:f>SUMIFS('Рабочие дни'!$I$5:$I$124,'Рабочие дни'!$A$5:$A$124,"&gt;="&amp;A20,'Рабочие дни'!$A$5:$A$124,"&lt;="&amp;B20)</x:f>
        <x:v>0</x:v>
      </x:c>
      <x:c r="E20" s="22" t="n">
        <x:f>SUMIFS('Рабочие дни'!$J$5:$J$124,'Рабочие дни'!$A$5:$A$124,"&gt;="&amp;A20,'Рабочие дни'!$A$5:$A$124,"&lt;="&amp;B20)</x:f>
        <x:v>0</x:v>
      </x:c>
      <x:c r="F20" s="22" t="n">
        <x:f>SUMIFS('Рабочие дни'!$K$5:$K$124,'Рабочие дни'!$A$5:$A$124,"&gt;="&amp;A20,'Рабочие дни'!$A$5:$A$124,"&lt;="&amp;B20)</x:f>
        <x:v>0</x:v>
      </x:c>
      <x:c r="G20" s="26" t="n">
        <x:f>SUMIFS('Рабочие дни'!$L$5:$L$124,'Рабочие дни'!$A$5:$A$124,"&gt;="&amp;A20,'Рабочие дни'!$A$5:$A$124,"&lt;="&amp;B20)</x:f>
        <x:v>0</x:v>
      </x:c>
      <x:c r="H20" s="26" t="n">
        <x:f>SUMIFS('Рабочие дни'!$M$5:$M$124,'Рабочие дни'!$A$5:$A$124,"&gt;="&amp;A20,'Рабочие дни'!$A$5:$A$124,"&lt;="&amp;B20)</x:f>
        <x:v>0</x:v>
      </x:c>
      <x:c r="I20" s="26" t="n">
        <x:f>SUMIFS('Рабочие дни'!$O$5:$O$124,'Рабочие дни'!$A$5:$A$124,"&gt;="&amp;A20,'Рабочие дни'!$A$5:$A$124,"&lt;="&amp;B20)</x:f>
        <x:v>0</x:v>
      </x:c>
      <x:c r="J20" s="22" t="n">
        <x:f>SUMIFS('Рабочие дни'!$E$5:$E$124,'Рабочие дни'!$A$5:$A$124,"&gt;="&amp;A20,'Рабочие дни'!$A$5:$A$124,"&lt;="&amp;B20)</x:f>
        <x:v>0</x:v>
      </x:c>
      <x:c r="K20" s="22" t="n">
        <x:f>SUMIFS('Рабочие дни'!$F$5:$F$124,'Рабочие дни'!$A$5:$A$124,"&gt;="&amp;A20,'Рабочие дни'!$A$5:$A$124,"&lt;="&amp;B20)</x:f>
        <x:v>0</x:v>
      </x:c>
      <x:c r="L20" s="26" t="n">
        <x:f>G20+H20+I20</x:f>
        <x:v>0</x:v>
      </x:c>
    </x:row>
    <x:row r="21">
      <x:c r="A21" s="18" t="n">
        <x:v>46311</x:v>
      </x:c>
      <x:c r="B21" s="18" t="n">
        <x:v>46317</x:v>
      </x:c>
      <x:c r="C21" t="n">
        <x:f>COUNTIFS('Рабочие дни'!$A$5:$A$124,"&gt;="&amp;A21,'Рабочие дни'!$A$5:$A$124,"&lt;="&amp;B21)</x:f>
        <x:v>0</x:v>
      </x:c>
      <x:c r="D21" s="22" t="n">
        <x:f>SUMIFS('Рабочие дни'!$I$5:$I$124,'Рабочие дни'!$A$5:$A$124,"&gt;="&amp;A21,'Рабочие дни'!$A$5:$A$124,"&lt;="&amp;B21)</x:f>
        <x:v>0</x:v>
      </x:c>
      <x:c r="E21" s="22" t="n">
        <x:f>SUMIFS('Рабочие дни'!$J$5:$J$124,'Рабочие дни'!$A$5:$A$124,"&gt;="&amp;A21,'Рабочие дни'!$A$5:$A$124,"&lt;="&amp;B21)</x:f>
        <x:v>0</x:v>
      </x:c>
      <x:c r="F21" s="22" t="n">
        <x:f>SUMIFS('Рабочие дни'!$K$5:$K$124,'Рабочие дни'!$A$5:$A$124,"&gt;="&amp;A21,'Рабочие дни'!$A$5:$A$124,"&lt;="&amp;B21)</x:f>
        <x:v>0</x:v>
      </x:c>
      <x:c r="G21" s="26" t="n">
        <x:f>SUMIFS('Рабочие дни'!$L$5:$L$124,'Рабочие дни'!$A$5:$A$124,"&gt;="&amp;A21,'Рабочие дни'!$A$5:$A$124,"&lt;="&amp;B21)</x:f>
        <x:v>0</x:v>
      </x:c>
      <x:c r="H21" s="26" t="n">
        <x:f>SUMIFS('Рабочие дни'!$M$5:$M$124,'Рабочие дни'!$A$5:$A$124,"&gt;="&amp;A21,'Рабочие дни'!$A$5:$A$124,"&lt;="&amp;B21)</x:f>
        <x:v>0</x:v>
      </x:c>
      <x:c r="I21" s="26" t="n">
        <x:f>SUMIFS('Рабочие дни'!$O$5:$O$124,'Рабочие дни'!$A$5:$A$124,"&gt;="&amp;A21,'Рабочие дни'!$A$5:$A$124,"&lt;="&amp;B21)</x:f>
        <x:v>0</x:v>
      </x:c>
      <x:c r="J21" s="22" t="n">
        <x:f>SUMIFS('Рабочие дни'!$E$5:$E$124,'Рабочие дни'!$A$5:$A$124,"&gt;="&amp;A21,'Рабочие дни'!$A$5:$A$124,"&lt;="&amp;B21)</x:f>
        <x:v>0</x:v>
      </x:c>
      <x:c r="K21" s="22" t="n">
        <x:f>SUMIFS('Рабочие дни'!$F$5:$F$124,'Рабочие дни'!$A$5:$A$124,"&gt;="&amp;A21,'Рабочие дни'!$A$5:$A$124,"&lt;="&amp;B21)</x:f>
        <x:v>0</x:v>
      </x:c>
      <x:c r="L21" s="26" t="n">
        <x:f>G21+H21+I21</x:f>
        <x:v>0</x:v>
      </x:c>
    </x:row>
    <x:row r="22">
      <x:c r="A22" s="18" t="n">
        <x:v>46318</x:v>
      </x:c>
      <x:c r="B22" s="18" t="n">
        <x:v>46324</x:v>
      </x:c>
      <x:c r="C22" t="n">
        <x:f>COUNTIFS('Рабочие дни'!$A$5:$A$124,"&gt;="&amp;A22,'Рабочие дни'!$A$5:$A$124,"&lt;="&amp;B22)</x:f>
        <x:v>0</x:v>
      </x:c>
      <x:c r="D22" s="22" t="n">
        <x:f>SUMIFS('Рабочие дни'!$I$5:$I$124,'Рабочие дни'!$A$5:$A$124,"&gt;="&amp;A22,'Рабочие дни'!$A$5:$A$124,"&lt;="&amp;B22)</x:f>
        <x:v>0</x:v>
      </x:c>
      <x:c r="E22" s="22" t="n">
        <x:f>SUMIFS('Рабочие дни'!$J$5:$J$124,'Рабочие дни'!$A$5:$A$124,"&gt;="&amp;A22,'Рабочие дни'!$A$5:$A$124,"&lt;="&amp;B22)</x:f>
        <x:v>0</x:v>
      </x:c>
      <x:c r="F22" s="22" t="n">
        <x:f>SUMIFS('Рабочие дни'!$K$5:$K$124,'Рабочие дни'!$A$5:$A$124,"&gt;="&amp;A22,'Рабочие дни'!$A$5:$A$124,"&lt;="&amp;B22)</x:f>
        <x:v>0</x:v>
      </x:c>
      <x:c r="G22" s="26" t="n">
        <x:f>SUMIFS('Рабочие дни'!$L$5:$L$124,'Рабочие дни'!$A$5:$A$124,"&gt;="&amp;A22,'Рабочие дни'!$A$5:$A$124,"&lt;="&amp;B22)</x:f>
        <x:v>0</x:v>
      </x:c>
      <x:c r="H22" s="26" t="n">
        <x:f>SUMIFS('Рабочие дни'!$M$5:$M$124,'Рабочие дни'!$A$5:$A$124,"&gt;="&amp;A22,'Рабочие дни'!$A$5:$A$124,"&lt;="&amp;B22)</x:f>
        <x:v>0</x:v>
      </x:c>
      <x:c r="I22" s="26" t="n">
        <x:f>SUMIFS('Рабочие дни'!$O$5:$O$124,'Рабочие дни'!$A$5:$A$124,"&gt;="&amp;A22,'Рабочие дни'!$A$5:$A$124,"&lt;="&amp;B22)</x:f>
        <x:v>0</x:v>
      </x:c>
      <x:c r="J22" s="22" t="n">
        <x:f>SUMIFS('Рабочие дни'!$E$5:$E$124,'Рабочие дни'!$A$5:$A$124,"&gt;="&amp;A22,'Рабочие дни'!$A$5:$A$124,"&lt;="&amp;B22)</x:f>
        <x:v>0</x:v>
      </x:c>
      <x:c r="K22" s="22" t="n">
        <x:f>SUMIFS('Рабочие дни'!$F$5:$F$124,'Рабочие дни'!$A$5:$A$124,"&gt;="&amp;A22,'Рабочие дни'!$A$5:$A$124,"&lt;="&amp;B22)</x:f>
        <x:v>0</x:v>
      </x:c>
      <x:c r="L22" s="26" t="n">
        <x:f>G22+H22+I22</x:f>
        <x:v>0</x:v>
      </x:c>
    </x:row>
    <x:row r="23">
      <x:c r="A23" s="18" t="n">
        <x:v>46325</x:v>
      </x:c>
      <x:c r="B23" s="18" t="n">
        <x:v>46331</x:v>
      </x:c>
      <x:c r="C23" t="n">
        <x:f>COUNTIFS('Рабочие дни'!$A$5:$A$124,"&gt;="&amp;A23,'Рабочие дни'!$A$5:$A$124,"&lt;="&amp;B23)</x:f>
        <x:v>0</x:v>
      </x:c>
      <x:c r="D23" s="22" t="n">
        <x:f>SUMIFS('Рабочие дни'!$I$5:$I$124,'Рабочие дни'!$A$5:$A$124,"&gt;="&amp;A23,'Рабочие дни'!$A$5:$A$124,"&lt;="&amp;B23)</x:f>
        <x:v>0</x:v>
      </x:c>
      <x:c r="E23" s="22" t="n">
        <x:f>SUMIFS('Рабочие дни'!$J$5:$J$124,'Рабочие дни'!$A$5:$A$124,"&gt;="&amp;A23,'Рабочие дни'!$A$5:$A$124,"&lt;="&amp;B23)</x:f>
        <x:v>0</x:v>
      </x:c>
      <x:c r="F23" s="22" t="n">
        <x:f>SUMIFS('Рабочие дни'!$K$5:$K$124,'Рабочие дни'!$A$5:$A$124,"&gt;="&amp;A23,'Рабочие дни'!$A$5:$A$124,"&lt;="&amp;B23)</x:f>
        <x:v>0</x:v>
      </x:c>
      <x:c r="G23" s="26" t="n">
        <x:f>SUMIFS('Рабочие дни'!$L$5:$L$124,'Рабочие дни'!$A$5:$A$124,"&gt;="&amp;A23,'Рабочие дни'!$A$5:$A$124,"&lt;="&amp;B23)</x:f>
        <x:v>0</x:v>
      </x:c>
      <x:c r="H23" s="26" t="n">
        <x:f>SUMIFS('Рабочие дни'!$M$5:$M$124,'Рабочие дни'!$A$5:$A$124,"&gt;="&amp;A23,'Рабочие дни'!$A$5:$A$124,"&lt;="&amp;B23)</x:f>
        <x:v>0</x:v>
      </x:c>
      <x:c r="I23" s="26" t="n">
        <x:f>SUMIFS('Рабочие дни'!$O$5:$O$124,'Рабочие дни'!$A$5:$A$124,"&gt;="&amp;A23,'Рабочие дни'!$A$5:$A$124,"&lt;="&amp;B23)</x:f>
        <x:v>0</x:v>
      </x:c>
      <x:c r="J23" s="22" t="n">
        <x:f>SUMIFS('Рабочие дни'!$E$5:$E$124,'Рабочие дни'!$A$5:$A$124,"&gt;="&amp;A23,'Рабочие дни'!$A$5:$A$124,"&lt;="&amp;B23)</x:f>
        <x:v>0</x:v>
      </x:c>
      <x:c r="K23" s="22" t="n">
        <x:f>SUMIFS('Рабочие дни'!$F$5:$F$124,'Рабочие дни'!$A$5:$A$124,"&gt;="&amp;A23,'Рабочие дни'!$A$5:$A$124,"&lt;="&amp;B23)</x:f>
        <x:v>0</x:v>
      </x:c>
      <x:c r="L23" s="26" t="n">
        <x:f>G23+H23+I23</x:f>
        <x:v>0</x:v>
      </x:c>
    </x:row>
    <x:row r="24">
      <x:c r="A24" s="18" t="n">
        <x:v>46332</x:v>
      </x:c>
      <x:c r="B24" s="18" t="n">
        <x:v>46338</x:v>
      </x:c>
      <x:c r="C24" t="n">
        <x:f>COUNTIFS('Рабочие дни'!$A$5:$A$124,"&gt;="&amp;A24,'Рабочие дни'!$A$5:$A$124,"&lt;="&amp;B24)</x:f>
        <x:v>0</x:v>
      </x:c>
      <x:c r="D24" s="22" t="n">
        <x:f>SUMIFS('Рабочие дни'!$I$5:$I$124,'Рабочие дни'!$A$5:$A$124,"&gt;="&amp;A24,'Рабочие дни'!$A$5:$A$124,"&lt;="&amp;B24)</x:f>
        <x:v>0</x:v>
      </x:c>
      <x:c r="E24" s="22" t="n">
        <x:f>SUMIFS('Рабочие дни'!$J$5:$J$124,'Рабочие дни'!$A$5:$A$124,"&gt;="&amp;A24,'Рабочие дни'!$A$5:$A$124,"&lt;="&amp;B24)</x:f>
        <x:v>0</x:v>
      </x:c>
      <x:c r="F24" s="22" t="n">
        <x:f>SUMIFS('Рабочие дни'!$K$5:$K$124,'Рабочие дни'!$A$5:$A$124,"&gt;="&amp;A24,'Рабочие дни'!$A$5:$A$124,"&lt;="&amp;B24)</x:f>
        <x:v>0</x:v>
      </x:c>
      <x:c r="G24" s="26" t="n">
        <x:f>SUMIFS('Рабочие дни'!$L$5:$L$124,'Рабочие дни'!$A$5:$A$124,"&gt;="&amp;A24,'Рабочие дни'!$A$5:$A$124,"&lt;="&amp;B24)</x:f>
        <x:v>0</x:v>
      </x:c>
      <x:c r="H24" s="26" t="n">
        <x:f>SUMIFS('Рабочие дни'!$M$5:$M$124,'Рабочие дни'!$A$5:$A$124,"&gt;="&amp;A24,'Рабочие дни'!$A$5:$A$124,"&lt;="&amp;B24)</x:f>
        <x:v>0</x:v>
      </x:c>
      <x:c r="I24" s="26" t="n">
        <x:f>SUMIFS('Рабочие дни'!$O$5:$O$124,'Рабочие дни'!$A$5:$A$124,"&gt;="&amp;A24,'Рабочие дни'!$A$5:$A$124,"&lt;="&amp;B24)</x:f>
        <x:v>0</x:v>
      </x:c>
      <x:c r="J24" s="22" t="n">
        <x:f>SUMIFS('Рабочие дни'!$E$5:$E$124,'Рабочие дни'!$A$5:$A$124,"&gt;="&amp;A24,'Рабочие дни'!$A$5:$A$124,"&lt;="&amp;B24)</x:f>
        <x:v>0</x:v>
      </x:c>
      <x:c r="K24" s="22" t="n">
        <x:f>SUMIFS('Рабочие дни'!$F$5:$F$124,'Рабочие дни'!$A$5:$A$124,"&gt;="&amp;A24,'Рабочие дни'!$A$5:$A$124,"&lt;="&amp;B24)</x:f>
        <x:v>0</x:v>
      </x:c>
      <x:c r="L24" s="26" t="n">
        <x:f>G24+H24+I24</x:f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bfd398a0c354d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Детали дня</x:v>
      </x:c>
    </x:row>
    <x:row r="2">
      <x:c r="A2" s="6" t="str">
        <x:v>Created by Azizbay</x:v>
      </x:c>
    </x:row>
    <x:row r="4">
      <x:c r="A4" t="str">
        <x:v>Выбери дату</x:v>
      </x:c>
      <x:c r="B4" s="18" t="n">
        <x:v>46199</x:v>
      </x:c>
    </x:row>
    <x:row r="6">
      <x:c r="A6" s="29" t="str">
        <x:v>Начало</x:v>
      </x:c>
      <x:c r="B6" s="20" t="n">
        <x:f>IFERROR(INDEX('Рабочие дни'!$C$5:$C$124,MATCH($B$4,'Рабочие дни'!$A$5:$A$124,0)),"")</x:f>
        <x:v>0.20833333333333334</x:v>
      </x:c>
    </x:row>
    <x:row r="7">
      <x:c r="A7" s="29" t="str">
        <x:v>Конец</x:v>
      </x:c>
      <x:c r="B7" s="20" t="n">
        <x:f>IFERROR(INDEX('Рабочие дни'!$D$5:$D$124,MATCH($B$4,'Рабочие дни'!$A$5:$A$124,0)),"")</x:f>
        <x:v>0.7083333333333334</x:v>
      </x:c>
    </x:row>
    <x:row r="8">
      <x:c r="A8" s="29" t="str">
        <x:v>Break мин</x:v>
      </x:c>
      <x:c r="B8" t="n">
        <x:f>IFERROR(INDEX('Рабочие дни'!$G$5:$G$124,MATCH($B$4,'Рабочие дни'!$A$5:$A$124,0)),"")</x:f>
        <x:v>15</x:v>
      </x:c>
    </x:row>
    <x:row r="9">
      <x:c r="A9" s="29" t="str">
        <x:v>Lunch мин</x:v>
      </x:c>
      <x:c r="B9" t="n">
        <x:f>IFERROR(INDEX('Рабочие дни'!$H$5:$H$124,MATCH($B$4,'Рабочие дни'!$A$5:$A$124,0)),"")</x:f>
        <x:v>30</x:v>
      </x:c>
    </x:row>
    <x:row r="10">
      <x:c r="A10" s="29" t="str">
        <x:v>Рабочие часы</x:v>
      </x:c>
      <x:c r="B10" s="22" t="n">
        <x:f>IFERROR(INDEX('Рабочие дни'!$I$5:$I$124,MATCH($B$4,'Рабочие дни'!$A$5:$A$124,0)),"")</x:f>
        <x:v>11.25</x:v>
      </x:c>
    </x:row>
    <x:row r="11">
      <x:c r="A11" s="29" t="str">
        <x:v>Обычные часы</x:v>
      </x:c>
      <x:c r="B11" s="22" t="n">
        <x:f>IFERROR(INDEX('Рабочие дни'!$J$5:$J$124,MATCH($B$4,'Рабочие дни'!$A$5:$A$124,0)),"")</x:f>
        <x:v>8</x:v>
      </x:c>
    </x:row>
    <x:row r="12">
      <x:c r="A12" s="29" t="str">
        <x:v>Овертайм часы</x:v>
      </x:c>
      <x:c r="B12" s="22" t="n">
        <x:f>IFERROR(INDEX('Рабочие дни'!$K$5:$K$124,MATCH($B$4,'Рабочие дни'!$A$5:$A$124,0)),"")</x:f>
        <x:v>3.25</x:v>
      </x:c>
    </x:row>
    <x:row r="13">
      <x:c r="A13" s="29" t="str">
        <x:v>Обычная зарплата (£)</x:v>
      </x:c>
      <x:c r="B13" s="26" t="n">
        <x:f>IFERROR(INDEX('Рабочие дни'!$L$5:$L$124,MATCH($B$4,'Рабочие дни'!$A$5:$A$124,0)),"")</x:f>
        <x:v>101.68</x:v>
      </x:c>
    </x:row>
    <x:row r="14">
      <x:c r="A14" s="29" t="str">
        <x:v>Овертайм заработок (£)</x:v>
      </x:c>
      <x:c r="B14" s="26" t="n">
        <x:f>IFERROR(INDEX('Рабочие дни'!$M$5:$M$124,MATCH($B$4,'Рабочие дни'!$A$5:$A$124,0)),"")</x:f>
        <x:v>61.9775</x:v>
      </x:c>
    </x:row>
    <x:row r="15">
      <x:c r="A15" s="29" t="str">
        <x:v>Стандарт кг</x:v>
      </x:c>
      <x:c r="B15" s="22" t="n">
        <x:f>IFERROR(INDEX('Рабочие дни'!$E$5:$E$124,MATCH($B$4,'Рабочие дни'!$A$5:$A$124,0)),"")</x:f>
        <x:v>89</x:v>
      </x:c>
    </x:row>
    <x:row r="16">
      <x:c r="A16" s="29" t="str">
        <x:v>Рабиш кг</x:v>
      </x:c>
      <x:c r="B16" s="22" t="n">
        <x:f>IFERROR(INDEX('Рабочие дни'!$F$5:$F$124,MATCH($B$4,'Рабочие дни'!$A$5:$A$124,0)),"")</x:f>
        <x:v>4</x:v>
      </x:c>
    </x:row>
    <x:row r="17">
      <x:c r="A17" s="29" t="str">
        <x:v>Сверх нормы кг</x:v>
      </x:c>
      <x:c r="B17" s="22" t="n">
        <x:f>IFERROR(INDEX('Рабочие дни'!$N$5:$N$124,MATCH($B$4,'Рабочие дни'!$A$5:$A$124,0)),"")</x:f>
        <x:v>41</x:v>
      </x:c>
    </x:row>
    <x:row r="18">
      <x:c r="A18" s="29" t="str">
        <x:v>Бонус (£)</x:v>
      </x:c>
      <x:c r="B18" s="26" t="n">
        <x:f>IFERROR(INDEX('Рабочие дни'!$O$5:$O$124,MATCH($B$4,'Рабочие дни'!$A$5:$A$124,0)),"")</x:f>
        <x:v>30.75</x:v>
      </x:c>
    </x:row>
    <x:row r="19">
      <x:c r="A19" s="29" t="str">
        <x:v>Итого без бонуса (£)</x:v>
      </x:c>
      <x:c r="B19" s="26" t="n">
        <x:f>IFERROR(INDEX('Рабочие дни'!$P$5:$P$124,MATCH($B$4,'Рабочие дни'!$A$5:$A$124,0)),"")</x:f>
        <x:v>163.6575</x:v>
      </x:c>
    </x:row>
    <x:row r="20">
      <x:c r="A20" s="29" t="str">
        <x:v>Итого с бонусом (£)</x:v>
      </x:c>
      <x:c r="B20" s="26" t="n">
        <x:f>IFERROR(INDEX('Рабочие дни'!$Q$5:$Q$124,MATCH($B$4,'Рабочие дни'!$A$5:$A$124,0)),"")</x:f>
        <x:v>194.4075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Выплата в пятницу</x:v>
      </x:c>
    </x:row>
    <x:row r="2">
      <x:c r="A2" s="6" t="str">
        <x:v>Created by Azizbay</x:v>
      </x:c>
    </x:row>
    <x:row r="4">
      <x:c r="A4" t="str">
        <x:v>Выбери старт недели (пятница)</x:v>
      </x:c>
      <x:c r="B4" s="18" t="n">
        <x:v>46199</x:v>
      </x:c>
    </x:row>
    <x:row r="6">
      <x:c r="A6" s="29" t="str">
        <x:v>Обычная зарплата (£)</x:v>
      </x:c>
      <x:c r="B6" s="26" t="n">
        <x:f>SUMIFS('Рабочие дни'!$L$5:$L$124,'Рабочие дни'!$A$5:$A$124,"&gt;="&amp;$B$4,'Рабочие дни'!$A$5:$A$124,"&lt;="&amp;$B$4+6)</x:f>
        <x:v>101.68</x:v>
      </x:c>
    </x:row>
    <x:row r="7">
      <x:c r="A7" s="29" t="str">
        <x:v>Овертайм заработок (£)</x:v>
      </x:c>
      <x:c r="B7" s="26" t="n">
        <x:f>SUMIFS('Рабочие дни'!$M$5:$M$124,'Рабочие дни'!$A$5:$A$124,"&gt;="&amp;$B$4,'Рабочие дни'!$A$5:$A$124,"&lt;="&amp;$B$4+6)</x:f>
        <x:v>61.9775</x:v>
      </x:c>
    </x:row>
    <x:row r="8">
      <x:c r="A8" s="29" t="str">
        <x:v>Бонусы (£)</x:v>
      </x:c>
      <x:c r="B8" s="26" t="n">
        <x:f>SUMIFS('Рабочие дни'!$O$5:$O$124,'Рабочие дни'!$A$5:$A$124,"&gt;="&amp;$B$4,'Рабочие дни'!$A$5:$A$124,"&lt;="&amp;$B$4+6)</x:f>
        <x:v>30.75</x:v>
      </x:c>
    </x:row>
    <x:row r="9">
      <x:c r="A9" s="29" t="str">
        <x:v>Овертайм часы</x:v>
      </x:c>
      <x:c r="B9" s="22" t="n">
        <x:f>SUMIFS('Рабочие дни'!$K$5:$K$124,'Рабочие дни'!$A$5:$A$124,"&gt;="&amp;$B$4,'Рабочие дни'!$A$5:$A$124,"&lt;="&amp;$B$4+6)</x:f>
        <x:v>3.25</x:v>
      </x:c>
    </x:row>
    <x:row r="10">
      <x:c r="A10" s="29" t="str">
        <x:v>Стандарт кг</x:v>
      </x:c>
      <x:c r="B10" s="22" t="n">
        <x:f>SUMIFS('Рабочие дни'!$E$5:$E$124,'Рабочие дни'!$A$5:$A$124,"&gt;="&amp;$B$4,'Рабочие дни'!$A$5:$A$124,"&lt;="&amp;$B$4+6)</x:f>
        <x:v>89</x:v>
      </x:c>
    </x:row>
    <x:row r="11">
      <x:c r="A11" s="29" t="str">
        <x:v>Рабиш кг</x:v>
      </x:c>
      <x:c r="B11" s="22" t="n">
        <x:f>SUMIFS('Рабочие дни'!$F$5:$F$124,'Рабочие дни'!$A$5:$A$124,"&gt;="&amp;$B$4,'Рабочие дни'!$A$5:$A$124,"&lt;="&amp;$B$4+6)</x:f>
        <x:v>4</x:v>
      </x:c>
    </x:row>
    <x:row r="12">
      <x:c r="A12" s="29"/>
    </x:row>
    <x:row r="13">
      <x:c r="A13" s="29" t="str">
        <x:v>Итого без бонусов (£)</x:v>
      </x:c>
      <x:c r="B13" s="26" t="n">
        <x:f>B6+B7</x:f>
        <x:v>163.6575</x:v>
      </x:c>
    </x:row>
    <x:row r="14">
      <x:c r="A14" s="29" t="str">
        <x:v>Итого с бонусами (£)</x:v>
      </x:c>
      <x:c r="B14" s="26" t="n">
        <x:f>B13+B8</x:f>
        <x:v>194.4075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3" t="str">
        <x:v>Статистика сезона</x:v>
      </x:c>
    </x:row>
    <x:row r="2">
      <x:c r="A2" s="6" t="str">
        <x:v>Created by Azizbay</x:v>
      </x:c>
    </x:row>
    <x:row r="4">
      <x:c r="A4" s="29" t="str">
        <x:v>Рабочих дней</x:v>
      </x:c>
      <x:c r="B4" t="n">
        <x:f>COUNT('Рабочие дни'!A5:A124)</x:f>
        <x:v>1</x:v>
      </x:c>
    </x:row>
    <x:row r="5">
      <x:c r="A5" s="29" t="str">
        <x:v>Всего часов</x:v>
      </x:c>
      <x:c r="B5" s="22" t="n">
        <x:f>SUM('Рабочие дни'!I5:I124)</x:f>
        <x:v>11.25</x:v>
      </x:c>
    </x:row>
    <x:row r="6">
      <x:c r="A6" s="29" t="str">
        <x:v>Всего овертайм часов</x:v>
      </x:c>
      <x:c r="B6" s="22" t="n">
        <x:f>SUM('Рабочие дни'!K5:K124)</x:f>
        <x:v>3.25</x:v>
      </x:c>
    </x:row>
    <x:row r="7">
      <x:c r="A7" s="29" t="str">
        <x:v>Обычная зарплата (£)</x:v>
      </x:c>
      <x:c r="B7" s="26" t="n">
        <x:f>SUM('Рабочие дни'!L5:L124)</x:f>
        <x:v>101.68</x:v>
      </x:c>
    </x:row>
    <x:row r="8">
      <x:c r="A8" s="29" t="str">
        <x:v>Овертайм заработок (£)</x:v>
      </x:c>
      <x:c r="B8" s="26" t="n">
        <x:f>SUM('Рабочие дни'!M5:M124)</x:f>
        <x:v>61.9775</x:v>
      </x:c>
    </x:row>
    <x:row r="9">
      <x:c r="A9" s="29" t="str">
        <x:v>Бонусы (£)</x:v>
      </x:c>
      <x:c r="B9" s="26" t="n">
        <x:f>SUM('Рабочие дни'!O5:O124)</x:f>
        <x:v>30.75</x:v>
      </x:c>
    </x:row>
    <x:row r="10">
      <x:c r="A10" s="29" t="str">
        <x:v>Итого без бонусов (£)</x:v>
      </x:c>
      <x:c r="B10" s="26" t="n">
        <x:f>SUM('Рабочие дни'!P5:P124)</x:f>
        <x:v>163.6575</x:v>
      </x:c>
    </x:row>
    <x:row r="11">
      <x:c r="A11" s="29" t="str">
        <x:v>Итого с бонусами (£)</x:v>
      </x:c>
      <x:c r="B11" s="26" t="n">
        <x:f>SUM('Рабочие дни'!Q5:Q124)</x:f>
        <x:v>194.4075</x:v>
      </x:c>
    </x:row>
    <x:row r="12">
      <x:c r="A12" s="29" t="str">
        <x:v>Стандарт кг</x:v>
      </x:c>
      <x:c r="B12" s="22" t="n">
        <x:f>SUM('Рабочие дни'!E5:E124)</x:f>
        <x:v>89</x:v>
      </x:c>
    </x:row>
    <x:row r="13">
      <x:c r="A13" s="29" t="str">
        <x:v>Рабиш кг</x:v>
      </x:c>
      <x:c r="B13" s="22" t="n">
        <x:f>SUM('Рабочие дни'!F5:F124)</x:f>
        <x:v>4</x:v>
      </x:c>
    </x:row>
    <x:row r="14">
      <x:c r="A14" s="29" t="str">
        <x:v>Средний стандарт кг/день</x:v>
      </x:c>
      <x:c r="B14" s="22" t="n">
        <x:f>IF(B4=0,0,B12/B4)</x:f>
        <x:v>89</x:v>
      </x:c>
    </x:row>
    <x:row r="15">
      <x:c r="A15" s="29" t="str">
        <x:v>Средний заработок/день (£)</x:v>
      </x:c>
      <x:c r="B15" s="26" t="n">
        <x:f>IF(B4=0,0,B11/B4)</x:f>
        <x:v>194.4075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ceebc32350774c7b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8" hidden="0" customWidth="1"/>
    <x:col min="4" max="4" width="14" hidden="0" customWidth="1"/>
  </x:cols>
  <x:sheetData>
    <x:row r="1">
      <x:c r="A1" s="3" t="str">
        <x:v>Berry Pay Tracker</x:v>
      </x:c>
    </x:row>
    <x:row r="2">
      <x:c r="A2" s="6" t="str">
        <x:v>Created by Azizbay</x:v>
      </x:c>
    </x:row>
    <x:row r="4">
      <x:c r="A4" s="11" t="str">
        <x:v>Параметр</x:v>
      </x:c>
      <x:c r="B4" s="11" t="str">
        <x:v>Значение</x:v>
      </x:c>
      <x:c r="C4" s="11" t="str">
        <x:v>Объяснение</x:v>
      </x:c>
      <x:c r="D4" s="11" t="str">
        <x:v>Можно менять</x:v>
      </x:c>
    </x:row>
    <x:row r="5">
      <x:c r="A5" t="str">
        <x:v>Почасовая ставка</x:v>
      </x:c>
      <x:c r="B5" t="n">
        <x:v>12.71</x:v>
      </x:c>
      <x:c r="C5" t="str">
        <x:v>Обычная оплата за час</x:v>
      </x:c>
      <x:c r="D5" t="str">
        <x:v>Да</x:v>
      </x:c>
    </x:row>
    <x:row r="6">
      <x:c r="A6" t="str">
        <x:v>Овертайм ставка</x:v>
      </x:c>
      <x:c r="B6" t="n">
        <x:v>19.07</x:v>
      </x:c>
      <x:c r="C6" t="str">
        <x:v>Оплата за час овертайма</x:v>
      </x:c>
      <x:c r="D6" t="str">
        <x:v>Да</x:v>
      </x:c>
    </x:row>
    <x:row r="7">
      <x:c r="A7" t="str">
        <x:v>Норма стандарта кг</x:v>
      </x:c>
      <x:c r="B7" t="n">
        <x:v>48</x:v>
      </x:c>
      <x:c r="C7" t="str">
        <x:v>До этой нормы бонус не считается</x:v>
      </x:c>
      <x:c r="D7" t="str">
        <x:v>Да</x:v>
      </x:c>
    </x:row>
    <x:row r="8">
      <x:c r="A8" t="str">
        <x:v>Бонус за кг</x:v>
      </x:c>
      <x:c r="B8" t="n">
        <x:v>0.75</x:v>
      </x:c>
      <x:c r="C8" t="str">
        <x:v>Только стандарт сверх нормы</x:v>
      </x:c>
      <x:c r="D8" t="str">
        <x:v>Да</x:v>
      </x:c>
    </x:row>
    <x:row r="9">
      <x:c r="A9" t="str">
        <x:v>Break мин</x:v>
      </x:c>
      <x:c r="B9" t="n">
        <x:v>15</x:v>
      </x:c>
      <x:c r="C9" t="str">
        <x:v>Если работа после 08:00</x:v>
      </x:c>
      <x:c r="D9" t="str">
        <x:v>Да</x:v>
      </x:c>
    </x:row>
    <x:row r="10">
      <x:c r="A10" t="str">
        <x:v>Lunch мин</x:v>
      </x:c>
      <x:c r="B10" t="n">
        <x:v>30</x:v>
      </x:c>
      <x:c r="C10" t="str">
        <x:v>Если работа после 11:00</x:v>
      </x:c>
      <x:c r="D10" t="str">
        <x:v>Да</x:v>
      </x:c>
    </x:row>
  </x:sheetData>
  <x:mergeCells>
    <x:mergeCell ref="A1:D1"/>
    <x:mergeCell ref="A2:D2"/>
  </x:mergeCells>
  <x:pageMargins left="0.7" right="0.7" top="0.75" bottom="0.75" header="0.3" footer="0.3"/>
</x:worksheet>
</file>