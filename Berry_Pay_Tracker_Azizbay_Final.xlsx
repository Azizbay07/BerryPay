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bf8c9b394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" sheetId="1" r:id="Rac49e12ff9084957"/>
    <x:sheet xmlns:r="http://schemas.openxmlformats.org/officeDocument/2006/relationships" name="Work Days" sheetId="2" r:id="Rda2ada1e0bae44e2"/>
    <x:sheet xmlns:r="http://schemas.openxmlformats.org/officeDocument/2006/relationships" name="Weeks" sheetId="3" r:id="Rb05f78cde6774126"/>
    <x:sheet xmlns:r="http://schemas.openxmlformats.org/officeDocument/2006/relationships" name="Day Detail" sheetId="4" r:id="R85fef214627b4c4f"/>
    <x:sheet xmlns:r="http://schemas.openxmlformats.org/officeDocument/2006/relationships" name="Payout" sheetId="5" r:id="R60adba98d2864a79"/>
    <x:sheet xmlns:r="http://schemas.openxmlformats.org/officeDocument/2006/relationships" name="Season Stats" sheetId="6" r:id="R12570e85f11747a6"/>
    <x:sheet xmlns:r="http://schemas.openxmlformats.org/officeDocument/2006/relationships" name="Settings" sheetId="7" r:id="Rd4735863c929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£#,##0.00"/>
    <x:numFmt numFmtId="201" formatCode="0.00"/>
    <x:numFmt numFmtId="202" formatCode="hh:mm"/>
    <x:numFmt numFmtId="203" formatCode="dd/mm/yyyy"/>
    <x:numFmt numFmtId="204" formatCode="0"/>
    <x:numFmt numFmtId="205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0F766E"/>
      </x:patternFill>
    </x:fill>
    <x:fill>
      <x:patternFill patternType="solid">
        <x:fgColor rgb="FFFDE68A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eb78315fc42db" /><Relationship Type="http://schemas.openxmlformats.org/officeDocument/2006/relationships/theme" Target="/xl/theme/theme1.xml" Id="R21309270e45f43fb" /><Relationship Type="http://schemas.openxmlformats.org/officeDocument/2006/relationships/sharedStrings" Target="/xl/sharedStrings.xml" Id="R7d35b35577004843" /><Relationship Type="http://schemas.openxmlformats.org/officeDocument/2006/relationships/worksheet" Target="/xl/worksheets/sheet1.xml" Id="Rac49e12ff9084957" /><Relationship Type="http://schemas.openxmlformats.org/officeDocument/2006/relationships/worksheet" Target="/xl/worksheets/sheet2.xml" Id="Rda2ada1e0bae44e2" /><Relationship Type="http://schemas.openxmlformats.org/officeDocument/2006/relationships/worksheet" Target="/xl/worksheets/sheet3.xml" Id="Rb05f78cde6774126" /><Relationship Type="http://schemas.openxmlformats.org/officeDocument/2006/relationships/worksheet" Target="/xl/worksheets/sheet4.xml" Id="R85fef214627b4c4f" /><Relationship Type="http://schemas.openxmlformats.org/officeDocument/2006/relationships/worksheet" Target="/xl/worksheets/sheet5.xml" Id="R60adba98d2864a79" /><Relationship Type="http://schemas.openxmlformats.org/officeDocument/2006/relationships/worksheet" Target="/xl/worksheets/sheet6.xml" Id="R12570e85f11747a6" /><Relationship Type="http://schemas.openxmlformats.org/officeDocument/2006/relationships/worksheet" Target="/xl/worksheets/sheet7.xml" Id="Rd4735863c9294588" /></Relationships>
</file>

<file path=xl/tables/table1.xml><?xml version="1.0" encoding="utf-8"?>
<x:table xmlns:x="http://schemas.openxmlformats.org/spreadsheetml/2006/main" id="1" name="WorkDaysTable" displayName="WorkDaysTable" ref="A1:U501" headerRowCount="1">
  <x:tableColumns count="21">
    <x:tableColumn id="1" name="Дата"/>
    <x:tableColumn id="2" name="Week Start"/>
    <x:tableColumn id="3" name="Pay Date"/>
    <x:tableColumn id="4" name="День"/>
    <x:tableColumn id="5" name="Начало"/>
    <x:tableColumn id="6" name="Конец"/>
    <x:tableColumn id="7" name="Break мин"/>
    <x:tableColumn id="8" name="Lunch мин"/>
    <x:tableColumn id="9" name="Перерыв всего"/>
    <x:tableColumn id="10" name="Рабочие часы"/>
    <x:tableColumn id="11" name="Обычные часы"/>
    <x:tableColumn id="12" name="Овертайм часы"/>
    <x:tableColumn id="13" name="Обычная зарплата"/>
    <x:tableColumn id="14" name="Заработок овертайма"/>
    <x:tableColumn id="15" name="Стандарт кг"/>
    <x:tableColumn id="16" name="Рабиш кг"/>
    <x:tableColumn id="17" name="Бонус кг"/>
    <x:tableColumn id="18" name="Бонус £"/>
    <x:tableColumn id="19" name="Зарплата без бонуса"/>
    <x:tableColumn id="20" name="Итого с бонусом"/>
    <x:tableColumn id="21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WeeksTable" displayName="WeeksTable" ref="A3:K55" headerRowCount="1">
  <x:tableColumns count="11">
    <x:tableColumn id="1" name="Неделя старт"/>
    <x:tableColumn id="2" name="Закрывается"/>
    <x:tableColumn id="3" name="Выплата"/>
    <x:tableColumn id="4" name="Рабочие дни"/>
    <x:tableColumn id="5" name="Часы"/>
    <x:tableColumn id="6" name="Овертайм часы"/>
    <x:tableColumn id="7" name="Обычная зарплата"/>
    <x:tableColumn id="8" name="Заработок овертайма"/>
    <x:tableColumn id="9" name="Бонус £"/>
    <x:tableColumn id="10" name="Рабиш кг"/>
    <x:tableColumn id="11" name="Итого с бонусо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9c6650f0be4d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719eabaf1b41cd" /></Relationships>
</file>

<file path=xl/worksheets/sheet1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43.130001068115234" hidden="0" customWidth="1"/>
    <x:col min="4" max="4" width="14.5" hidden="0" customWidth="1"/>
    <x:col min="5" max="5" width="60" hidden="0" customWidth="1"/>
  </x:cols>
  <x:sheetData>
    <x:row r="1">
      <x:c r="A1" s="5" t="str">
        <x:v>🍓 Berry Pay Tracker</x:v>
      </x:c>
    </x:row>
    <x:row r="3">
      <x:c r="A3" s="29" t="str">
        <x:v>Created by</x:v>
      </x:c>
      <x:c r="B3" t="str">
        <x:f>Settings!B4</x:f>
        <x:v>Azizbay</x:v>
      </x:c>
      <x:c r="D3" s="14" t="str">
        <x:v>Как пользоваться</x:v>
      </x:c>
      <x:c r="E3" s="14" t="str"/>
      <x:c r="F3" s="14" t="str"/>
    </x:row>
    <x:row r="4">
      <x:c r="A4" s="29" t="str">
        <x:v>Версия</x:v>
      </x:c>
      <x:c r="B4" t="str">
        <x:v>1.0</x:v>
      </x:c>
      <x:c r="D4" t="str">
        <x:v>1</x:v>
      </x:c>
      <x:c r="E4" t="str">
        <x:v>В листе Work Days вводи только дату, начало, конец, стандарт кг и рабиш кг.</x:v>
      </x:c>
      <x:c r="F4" t="str"/>
    </x:row>
    <x:row r="5">
      <x:c r="A5" s="29" t="str">
        <x:v>Для</x:v>
      </x:c>
      <x:c r="B5" t="str">
        <x:v>Учёт работы, овертайма, стандарта, рабиша и бонусов</x:v>
      </x:c>
      <x:c r="D5" t="str">
        <x:v>2</x:v>
      </x:c>
      <x:c r="E5" t="str">
        <x:v>Бонус считается только по стандарту сверх 48 кг.</x:v>
      </x:c>
      <x:c r="F5" t="str"/>
    </x:row>
    <x:row r="6">
      <x:c r="A6" s="29" t="str">
        <x:v>Неделя</x:v>
      </x:c>
      <x:c r="B6" t="str">
        <x:f>Settings!B9</x:f>
        <x:v>Пятница → Четверг</x:v>
      </x:c>
      <x:c r="D6" t="str">
        <x:v>3</x:v>
      </x:c>
      <x:c r="E6" t="str">
        <x:v>Рабиш считается отдельно и НЕ добавляется в бонус.</x:v>
      </x:c>
      <x:c r="F6" t="str"/>
    </x:row>
    <x:row r="7">
      <x:c r="A7" s="29" t="str">
        <x:v>Выплата</x:v>
      </x:c>
      <x:c r="B7" t="str">
        <x:f>Settings!B10</x:f>
        <x:v>Пятница</x:v>
      </x:c>
      <x:c r="D7" t="str">
        <x:v>4</x:v>
      </x:c>
      <x:c r="E7" t="str">
        <x:v>Овертайм считается отдельной суммой, как бонусы.</x:v>
      </x:c>
      <x:c r="F7" t="str"/>
    </x:row>
    <x:row r="8">
      <x:c r="A8" s="29" t="str">
        <x:v>Обычная ставка</x:v>
      </x:c>
      <x:c r="B8" s="20" t="n">
        <x:f>Settings!B5</x:f>
        <x:v>12.71</x:v>
      </x:c>
      <x:c r="D8" t="str">
        <x:v>5</x:v>
      </x:c>
      <x:c r="E8" t="str">
        <x:v>Неделя: пятница → четверг, выплата в пятницу.</x:v>
      </x:c>
      <x:c r="F8" t="str"/>
    </x:row>
    <x:row r="9">
      <x:c r="A9" s="29" t="str">
        <x:v>Овертайм</x:v>
      </x:c>
      <x:c r="B9" s="20" t="n">
        <x:f>Settings!B6</x:f>
        <x:v>19.07</x:v>
      </x:c>
    </x:row>
    <x:row r="10">
      <x:c r="A10" s="29" t="str">
        <x:v>Норма стандарта</x:v>
      </x:c>
      <x:c r="B10" s="22" t="n">
        <x:f>Settings!B7</x:f>
        <x:v>48</x:v>
      </x:c>
    </x:row>
    <x:row r="11">
      <x:c r="A11" s="29" t="str">
        <x:v>Бонус за кг</x:v>
      </x:c>
      <x:c r="B11" s="20" t="n">
        <x:f>Settings!B8</x:f>
        <x:v>0.75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9.380000114440918" hidden="0" customWidth="1"/>
    <x:col min="3" max="3" width="9.380000114440918" hidden="0" customWidth="1"/>
    <x:col min="4" max="4" width="5.130000114440918" hidden="0" customWidth="1"/>
    <x:col min="5" max="5" width="6.380000114440918" hidden="0" customWidth="1"/>
    <x:col min="6" max="6" width="5.5" hidden="0" customWidth="1"/>
    <x:col min="7" max="7" width="8.630000114440918" hidden="0" customWidth="1"/>
    <x:col min="8" max="8" width="8.75" hidden="0" customWidth="1"/>
    <x:col min="9" max="9" width="12.380000114440918" hidden="0" customWidth="1"/>
    <x:col min="10" max="10" width="11.5" hidden="0" customWidth="1"/>
    <x:col min="11" max="11" width="12.5" hidden="0" customWidth="1"/>
    <x:col min="12" max="12" width="12.880000114440918" hidden="0" customWidth="1"/>
    <x:col min="13" max="13" width="15.380000114440918" hidden="0" customWidth="1"/>
    <x:col min="14" max="14" width="17.8799991607666" hidden="0" customWidth="1"/>
    <x:col min="15" max="15" width="9.75" hidden="0" customWidth="1"/>
    <x:col min="16" max="16" width="7.75" hidden="0" customWidth="1"/>
    <x:col min="17" max="17" width="7.130000114440918" hidden="0" customWidth="1"/>
    <x:col min="18" max="18" width="6.5" hidden="0" customWidth="1"/>
    <x:col min="19" max="19" width="16.75" hidden="0" customWidth="1"/>
    <x:col min="20" max="20" width="13.5" hidden="0" customWidth="1"/>
    <x:col min="21" max="21" width="7.25" hidden="0" customWidth="1"/>
  </x:cols>
  <x:sheetData>
    <x:row r="1">
      <x:c r="A1" s="14" t="str">
        <x:v>Дата</x:v>
      </x:c>
      <x:c r="B1" s="14" t="str">
        <x:v>Week Start</x:v>
      </x:c>
      <x:c r="C1" s="14" t="str">
        <x:v>Pay Date</x:v>
      </x:c>
      <x:c r="D1" s="14" t="str">
        <x:v>День</x:v>
      </x:c>
      <x:c r="E1" s="14" t="str">
        <x:v>Начало</x:v>
      </x:c>
      <x:c r="F1" s="14" t="str">
        <x:v>Конец</x:v>
      </x:c>
      <x:c r="G1" s="14" t="str">
        <x:v>Break мин</x:v>
      </x:c>
      <x:c r="H1" s="14" t="str">
        <x:v>Lunch мин</x:v>
      </x:c>
      <x:c r="I1" s="14" t="str">
        <x:v>Перерыв всего</x:v>
      </x:c>
      <x:c r="J1" s="14" t="str">
        <x:v>Рабочие часы</x:v>
      </x:c>
      <x:c r="K1" s="14" t="str">
        <x:v>Обычные часы</x:v>
      </x:c>
      <x:c r="L1" s="14" t="str">
        <x:v>Овертайм часы</x:v>
      </x:c>
      <x:c r="M1" s="14" t="str">
        <x:v>Обычная зарплата</x:v>
      </x:c>
      <x:c r="N1" s="14" t="str">
        <x:v>Заработок овертайма</x:v>
      </x:c>
      <x:c r="O1" s="14" t="str">
        <x:v>Стандарт кг</x:v>
      </x:c>
      <x:c r="P1" s="14" t="str">
        <x:v>Рабиш кг</x:v>
      </x:c>
      <x:c r="Q1" s="14" t="str">
        <x:v>Бонус кг</x:v>
      </x:c>
      <x:c r="R1" s="14" t="str">
        <x:v>Бонус £</x:v>
      </x:c>
      <x:c r="S1" s="14" t="str">
        <x:v>Зарплата без бонуса</x:v>
      </x:c>
      <x:c r="T1" s="14" t="str">
        <x:v>Итого с бонусом</x:v>
      </x:c>
      <x:c r="U1" s="14" t="str">
        <x:v>Заметки</x:v>
      </x:c>
      <x:c r="W1" s="38" t="str">
        <x:v>Created by Azizbay</x:v>
      </x:c>
    </x:row>
    <x:row r="2">
      <x:c r="A2" s="26" t="n">
        <x:v>46199</x:v>
      </x:c>
      <x:c r="B2" s="26" t="n">
        <x:f>IF(A2="","",A2-MOD(WEEKDAY(A2,2)-5,7))</x:f>
        <x:v>46199</x:v>
      </x:c>
      <x:c r="C2" s="26" t="n">
        <x:f>IF(B2="","",B2+7)</x:f>
        <x:v>46206</x:v>
      </x:c>
      <x:c r="D2" t="str">
        <x:f>IF(A2="","",TEXT(A2,"dddd"))</x:f>
        <x:v>Friday</x:v>
      </x:c>
      <x:c r="E2" s="24" t="n">
        <x:v>0.20833333333333334</x:v>
      </x:c>
      <x:c r="F2" s="24" t="n">
        <x:v>0.7083333333333334</x:v>
      </x:c>
      <x:c r="G2" s="32" t="n">
        <x:f>IF(AND(E2&lt;Settings!$B$11,F2&gt;Settings!$B$11),Settings!$B$12,0)</x:f>
        <x:v>15</x:v>
      </x:c>
      <x:c r="H2" s="32" t="n">
        <x:f>IF(AND(E2&lt;Settings!$B$13,F2&gt;Settings!$B$13),Settings!$B$14,0)</x:f>
        <x:v>30</x:v>
      </x:c>
      <x:c r="I2" s="32" t="n">
        <x:f>IF(A2="","",G2+H2)</x:f>
        <x:v>45</x:v>
      </x:c>
      <x:c r="J2" s="22" t="n">
        <x:f>IF(A2="","",((F2-E2)*24)-(I2/60))</x:f>
        <x:v>11.25</x:v>
      </x:c>
      <x:c r="K2" s="22" t="n">
        <x:f>IF(A2="","",MIN(J2,8))</x:f>
        <x:v>8</x:v>
      </x:c>
      <x:c r="L2" s="22" t="n">
        <x:f>IF(A2="","",MAX(J2-8,0))</x:f>
        <x:v>3.25</x:v>
      </x:c>
      <x:c r="M2" s="20" t="n">
        <x:f>IF(A2="","",K2*Settings!$B$5)</x:f>
        <x:v>101.68</x:v>
      </x:c>
      <x:c r="N2" s="20" t="n">
        <x:f>IF(A2="","",L2*Settings!$B$6)</x:f>
        <x:v>61.9775</x:v>
      </x:c>
      <x:c r="O2" s="22" t="n">
        <x:v>89</x:v>
      </x:c>
      <x:c r="P2" s="22" t="n">
        <x:v>0</x:v>
      </x:c>
      <x:c r="Q2" s="22" t="n">
        <x:f>IF(A2="","",MAX(O2-Settings!$B$7,0))</x:f>
        <x:v>41</x:v>
      </x:c>
      <x:c r="R2" s="20" t="n">
        <x:f>IF(A2="","",Q2*Settings!$B$8)</x:f>
        <x:v>30.75</x:v>
      </x:c>
      <x:c r="S2" s="20" t="n">
        <x:f>IF(A2="","",M2+N2)</x:f>
        <x:v>163.6575</x:v>
      </x:c>
      <x:c r="T2" s="20" t="n">
        <x:f>IF(A2="","",S2+R2)</x:f>
        <x:v>194.4075</x:v>
      </x:c>
      <x:c r="U2" t="str">
        <x:v>Пример</x:v>
      </x:c>
    </x:row>
    <x:row r="3">
      <x:c r="A3" s="26"/>
      <x:c r="B3" s="26" t="str">
        <x:f>IF(A3="","",A3-MOD(WEEKDAY(A3,2)-5,7))</x:f>
      </x:c>
      <x:c r="C3" s="26" t="str">
        <x:f>IF(B3="","",B3+7)</x:f>
      </x:c>
      <x:c r="D3" t="str">
        <x:f>IF(A3="","",TEXT(A3,"dddd"))</x:f>
      </x:c>
      <x:c r="E3" s="24"/>
      <x:c r="F3" s="24"/>
      <x:c r="G3" s="32" t="n">
        <x:f>IF(AND(E3&lt;Settings!$B$11,F3&gt;Settings!$B$11),Settings!$B$12,0)</x:f>
        <x:v>0</x:v>
      </x:c>
      <x:c r="H3" s="32" t="n">
        <x:f>IF(AND(E3&lt;Settings!$B$13,F3&gt;Settings!$B$13),Settings!$B$14,0)</x:f>
        <x:v>0</x:v>
      </x:c>
      <x:c r="I3" s="32" t="str">
        <x:f>IF(A3="","",G3+H3)</x:f>
      </x:c>
      <x:c r="J3" s="22" t="str">
        <x:f>IF(A3="","",((F3-E3)*24)-(I3/60))</x:f>
      </x:c>
      <x:c r="K3" s="22" t="str">
        <x:f>IF(A3="","",MIN(J3,8))</x:f>
      </x:c>
      <x:c r="L3" s="22" t="str">
        <x:f>IF(A3="","",MAX(J3-8,0))</x:f>
      </x:c>
      <x:c r="M3" s="20" t="str">
        <x:f>IF(A3="","",K3*Settings!$B$5)</x:f>
      </x:c>
      <x:c r="N3" s="20" t="str">
        <x:f>IF(A3="","",L3*Settings!$B$6)</x:f>
      </x:c>
      <x:c r="O3" s="22"/>
      <x:c r="P3" s="22"/>
      <x:c r="Q3" s="22" t="str">
        <x:f>IF(A3="","",MAX(O3-Settings!$B$7,0))</x:f>
      </x:c>
      <x:c r="R3" s="20" t="str">
        <x:f>IF(A3="","",Q3*Settings!$B$8)</x:f>
      </x:c>
      <x:c r="S3" s="20" t="str">
        <x:f>IF(A3="","",M3+N3)</x:f>
      </x:c>
      <x:c r="T3" s="20" t="str">
        <x:f>IF(A3="","",S3+R3)</x:f>
      </x:c>
    </x:row>
    <x:row r="4">
      <x:c r="A4" s="26"/>
      <x:c r="B4" s="26" t="str">
        <x:f>IF(A4="","",A4-MOD(WEEKDAY(A4,2)-5,7))</x:f>
      </x:c>
      <x:c r="C4" s="26" t="str">
        <x:f>IF(B4="","",B4+7)</x:f>
      </x:c>
      <x:c r="D4" t="str">
        <x:f>IF(A4="","",TEXT(A4,"dddd"))</x:f>
      </x:c>
      <x:c r="E4" s="24"/>
      <x:c r="F4" s="24"/>
      <x:c r="G4" s="32" t="n">
        <x:f>IF(AND(E4&lt;Settings!$B$11,F4&gt;Settings!$B$11),Settings!$B$12,0)</x:f>
        <x:v>0</x:v>
      </x:c>
      <x:c r="H4" s="32" t="n">
        <x:f>IF(AND(E4&lt;Settings!$B$13,F4&gt;Settings!$B$13),Settings!$B$14,0)</x:f>
        <x:v>0</x:v>
      </x:c>
      <x:c r="I4" s="32" t="str">
        <x:f>IF(A4="","",G4+H4)</x:f>
      </x:c>
      <x:c r="J4" s="22" t="str">
        <x:f>IF(A4="","",((F4-E4)*24)-(I4/60))</x:f>
      </x:c>
      <x:c r="K4" s="22" t="str">
        <x:f>IF(A4="","",MIN(J4,8))</x:f>
      </x:c>
      <x:c r="L4" s="22" t="str">
        <x:f>IF(A4="","",MAX(J4-8,0))</x:f>
      </x:c>
      <x:c r="M4" s="20" t="str">
        <x:f>IF(A4="","",K4*Settings!$B$5)</x:f>
      </x:c>
      <x:c r="N4" s="20" t="str">
        <x:f>IF(A4="","",L4*Settings!$B$6)</x:f>
      </x:c>
      <x:c r="O4" s="22"/>
      <x:c r="P4" s="22"/>
      <x:c r="Q4" s="22" t="str">
        <x:f>IF(A4="","",MAX(O4-Settings!$B$7,0))</x:f>
      </x:c>
      <x:c r="R4" s="20" t="str">
        <x:f>IF(A4="","",Q4*Settings!$B$8)</x:f>
      </x:c>
      <x:c r="S4" s="20" t="str">
        <x:f>IF(A4="","",M4+N4)</x:f>
      </x:c>
      <x:c r="T4" s="20" t="str">
        <x:f>IF(A4="","",S4+R4)</x:f>
      </x:c>
    </x:row>
    <x:row r="5">
      <x:c r="A5" s="26"/>
      <x:c r="B5" s="26" t="str">
        <x:f>IF(A5="","",A5-MOD(WEEKDAY(A5,2)-5,7))</x:f>
      </x:c>
      <x:c r="C5" s="26" t="str">
        <x:f>IF(B5="","",B5+7)</x:f>
      </x:c>
      <x:c r="D5" t="str">
        <x:f>IF(A5="","",TEXT(A5,"dddd"))</x:f>
      </x:c>
      <x:c r="E5" s="24"/>
      <x:c r="F5" s="24"/>
      <x:c r="G5" s="32" t="n">
        <x:f>IF(AND(E5&lt;Settings!$B$11,F5&gt;Settings!$B$11),Settings!$B$12,0)</x:f>
        <x:v>0</x:v>
      </x:c>
      <x:c r="H5" s="32" t="n">
        <x:f>IF(AND(E5&lt;Settings!$B$13,F5&gt;Settings!$B$13),Settings!$B$14,0)</x:f>
        <x:v>0</x:v>
      </x:c>
      <x:c r="I5" s="32" t="str">
        <x:f>IF(A5="","",G5+H5)</x:f>
      </x:c>
      <x:c r="J5" s="22" t="str">
        <x:f>IF(A5="","",((F5-E5)*24)-(I5/60))</x:f>
      </x:c>
      <x:c r="K5" s="22" t="str">
        <x:f>IF(A5="","",MIN(J5,8))</x:f>
      </x:c>
      <x:c r="L5" s="22" t="str">
        <x:f>IF(A5="","",MAX(J5-8,0))</x:f>
      </x:c>
      <x:c r="M5" s="20" t="str">
        <x:f>IF(A5="","",K5*Settings!$B$5)</x:f>
      </x:c>
      <x:c r="N5" s="20" t="str">
        <x:f>IF(A5="","",L5*Settings!$B$6)</x:f>
      </x:c>
      <x:c r="O5" s="22"/>
      <x:c r="P5" s="22"/>
      <x:c r="Q5" s="22" t="str">
        <x:f>IF(A5="","",MAX(O5-Settings!$B$7,0))</x:f>
      </x:c>
      <x:c r="R5" s="20" t="str">
        <x:f>IF(A5="","",Q5*Settings!$B$8)</x:f>
      </x:c>
      <x:c r="S5" s="20" t="str">
        <x:f>IF(A5="","",M5+N5)</x:f>
      </x:c>
      <x:c r="T5" s="20" t="str">
        <x:f>IF(A5="","",S5+R5)</x:f>
      </x:c>
    </x:row>
    <x:row r="6">
      <x:c r="A6" s="26"/>
      <x:c r="B6" s="26" t="str">
        <x:f>IF(A6="","",A6-MOD(WEEKDAY(A6,2)-5,7))</x:f>
      </x:c>
      <x:c r="C6" s="26" t="str">
        <x:f>IF(B6="","",B6+7)</x:f>
      </x:c>
      <x:c r="D6" t="str">
        <x:f>IF(A6="","",TEXT(A6,"dddd"))</x:f>
      </x:c>
      <x:c r="E6" s="24"/>
      <x:c r="F6" s="24"/>
      <x:c r="G6" s="32" t="n">
        <x:f>IF(AND(E6&lt;Settings!$B$11,F6&gt;Settings!$B$11),Settings!$B$12,0)</x:f>
        <x:v>0</x:v>
      </x:c>
      <x:c r="H6" s="32" t="n">
        <x:f>IF(AND(E6&lt;Settings!$B$13,F6&gt;Settings!$B$13),Settings!$B$14,0)</x:f>
        <x:v>0</x:v>
      </x:c>
      <x:c r="I6" s="32" t="str">
        <x:f>IF(A6="","",G6+H6)</x:f>
      </x:c>
      <x:c r="J6" s="22" t="str">
        <x:f>IF(A6="","",((F6-E6)*24)-(I6/60))</x:f>
      </x:c>
      <x:c r="K6" s="22" t="str">
        <x:f>IF(A6="","",MIN(J6,8))</x:f>
      </x:c>
      <x:c r="L6" s="22" t="str">
        <x:f>IF(A6="","",MAX(J6-8,0))</x:f>
      </x:c>
      <x:c r="M6" s="20" t="str">
        <x:f>IF(A6="","",K6*Settings!$B$5)</x:f>
      </x:c>
      <x:c r="N6" s="20" t="str">
        <x:f>IF(A6="","",L6*Settings!$B$6)</x:f>
      </x:c>
      <x:c r="O6" s="22"/>
      <x:c r="P6" s="22"/>
      <x:c r="Q6" s="22" t="str">
        <x:f>IF(A6="","",MAX(O6-Settings!$B$7,0))</x:f>
      </x:c>
      <x:c r="R6" s="20" t="str">
        <x:f>IF(A6="","",Q6*Settings!$B$8)</x:f>
      </x:c>
      <x:c r="S6" s="20" t="str">
        <x:f>IF(A6="","",M6+N6)</x:f>
      </x:c>
      <x:c r="T6" s="20" t="str">
        <x:f>IF(A6="","",S6+R6)</x:f>
      </x:c>
    </x:row>
    <x:row r="7">
      <x:c r="A7" s="26"/>
      <x:c r="B7" s="26" t="str">
        <x:f>IF(A7="","",A7-MOD(WEEKDAY(A7,2)-5,7))</x:f>
      </x:c>
      <x:c r="C7" s="26" t="str">
        <x:f>IF(B7="","",B7+7)</x:f>
      </x:c>
      <x:c r="D7" t="str">
        <x:f>IF(A7="","",TEXT(A7,"dddd"))</x:f>
      </x:c>
      <x:c r="E7" s="24"/>
      <x:c r="F7" s="24"/>
      <x:c r="G7" s="32" t="n">
        <x:f>IF(AND(E7&lt;Settings!$B$11,F7&gt;Settings!$B$11),Settings!$B$12,0)</x:f>
        <x:v>0</x:v>
      </x:c>
      <x:c r="H7" s="32" t="n">
        <x:f>IF(AND(E7&lt;Settings!$B$13,F7&gt;Settings!$B$13),Settings!$B$14,0)</x:f>
        <x:v>0</x:v>
      </x:c>
      <x:c r="I7" s="32" t="str">
        <x:f>IF(A7="","",G7+H7)</x:f>
      </x:c>
      <x:c r="J7" s="22" t="str">
        <x:f>IF(A7="","",((F7-E7)*24)-(I7/60))</x:f>
      </x:c>
      <x:c r="K7" s="22" t="str">
        <x:f>IF(A7="","",MIN(J7,8))</x:f>
      </x:c>
      <x:c r="L7" s="22" t="str">
        <x:f>IF(A7="","",MAX(J7-8,0))</x:f>
      </x:c>
      <x:c r="M7" s="20" t="str">
        <x:f>IF(A7="","",K7*Settings!$B$5)</x:f>
      </x:c>
      <x:c r="N7" s="20" t="str">
        <x:f>IF(A7="","",L7*Settings!$B$6)</x:f>
      </x:c>
      <x:c r="O7" s="22"/>
      <x:c r="P7" s="22"/>
      <x:c r="Q7" s="22" t="str">
        <x:f>IF(A7="","",MAX(O7-Settings!$B$7,0))</x:f>
      </x:c>
      <x:c r="R7" s="20" t="str">
        <x:f>IF(A7="","",Q7*Settings!$B$8)</x:f>
      </x:c>
      <x:c r="S7" s="20" t="str">
        <x:f>IF(A7="","",M7+N7)</x:f>
      </x:c>
      <x:c r="T7" s="20" t="str">
        <x:f>IF(A7="","",S7+R7)</x:f>
      </x:c>
    </x:row>
    <x:row r="8">
      <x:c r="A8" s="26"/>
      <x:c r="B8" s="26" t="str">
        <x:f>IF(A8="","",A8-MOD(WEEKDAY(A8,2)-5,7))</x:f>
      </x:c>
      <x:c r="C8" s="26" t="str">
        <x:f>IF(B8="","",B8+7)</x:f>
      </x:c>
      <x:c r="D8" t="str">
        <x:f>IF(A8="","",TEXT(A8,"dddd"))</x:f>
      </x:c>
      <x:c r="E8" s="24"/>
      <x:c r="F8" s="24"/>
      <x:c r="G8" s="32" t="n">
        <x:f>IF(AND(E8&lt;Settings!$B$11,F8&gt;Settings!$B$11),Settings!$B$12,0)</x:f>
        <x:v>0</x:v>
      </x:c>
      <x:c r="H8" s="32" t="n">
        <x:f>IF(AND(E8&lt;Settings!$B$13,F8&gt;Settings!$B$13),Settings!$B$14,0)</x:f>
        <x:v>0</x:v>
      </x:c>
      <x:c r="I8" s="32" t="str">
        <x:f>IF(A8="","",G8+H8)</x:f>
      </x:c>
      <x:c r="J8" s="22" t="str">
        <x:f>IF(A8="","",((F8-E8)*24)-(I8/60))</x:f>
      </x:c>
      <x:c r="K8" s="22" t="str">
        <x:f>IF(A8="","",MIN(J8,8))</x:f>
      </x:c>
      <x:c r="L8" s="22" t="str">
        <x:f>IF(A8="","",MAX(J8-8,0))</x:f>
      </x:c>
      <x:c r="M8" s="20" t="str">
        <x:f>IF(A8="","",K8*Settings!$B$5)</x:f>
      </x:c>
      <x:c r="N8" s="20" t="str">
        <x:f>IF(A8="","",L8*Settings!$B$6)</x:f>
      </x:c>
      <x:c r="O8" s="22"/>
      <x:c r="P8" s="22"/>
      <x:c r="Q8" s="22" t="str">
        <x:f>IF(A8="","",MAX(O8-Settings!$B$7,0))</x:f>
      </x:c>
      <x:c r="R8" s="20" t="str">
        <x:f>IF(A8="","",Q8*Settings!$B$8)</x:f>
      </x:c>
      <x:c r="S8" s="20" t="str">
        <x:f>IF(A8="","",M8+N8)</x:f>
      </x:c>
      <x:c r="T8" s="20" t="str">
        <x:f>IF(A8="","",S8+R8)</x:f>
      </x:c>
    </x:row>
    <x:row r="9">
      <x:c r="A9" s="26"/>
      <x:c r="B9" s="26" t="str">
        <x:f>IF(A9="","",A9-MOD(WEEKDAY(A9,2)-5,7))</x:f>
      </x:c>
      <x:c r="C9" s="26" t="str">
        <x:f>IF(B9="","",B9+7)</x:f>
      </x:c>
      <x:c r="D9" t="str">
        <x:f>IF(A9="","",TEXT(A9,"dddd"))</x:f>
      </x:c>
      <x:c r="E9" s="24"/>
      <x:c r="F9" s="24"/>
      <x:c r="G9" s="32" t="n">
        <x:f>IF(AND(E9&lt;Settings!$B$11,F9&gt;Settings!$B$11),Settings!$B$12,0)</x:f>
        <x:v>0</x:v>
      </x:c>
      <x:c r="H9" s="32" t="n">
        <x:f>IF(AND(E9&lt;Settings!$B$13,F9&gt;Settings!$B$13),Settings!$B$14,0)</x:f>
        <x:v>0</x:v>
      </x:c>
      <x:c r="I9" s="32" t="str">
        <x:f>IF(A9="","",G9+H9)</x:f>
      </x:c>
      <x:c r="J9" s="22" t="str">
        <x:f>IF(A9="","",((F9-E9)*24)-(I9/60))</x:f>
      </x:c>
      <x:c r="K9" s="22" t="str">
        <x:f>IF(A9="","",MIN(J9,8))</x:f>
      </x:c>
      <x:c r="L9" s="22" t="str">
        <x:f>IF(A9="","",MAX(J9-8,0))</x:f>
      </x:c>
      <x:c r="M9" s="20" t="str">
        <x:f>IF(A9="","",K9*Settings!$B$5)</x:f>
      </x:c>
      <x:c r="N9" s="20" t="str">
        <x:f>IF(A9="","",L9*Settings!$B$6)</x:f>
      </x:c>
      <x:c r="O9" s="22"/>
      <x:c r="P9" s="22"/>
      <x:c r="Q9" s="22" t="str">
        <x:f>IF(A9="","",MAX(O9-Settings!$B$7,0))</x:f>
      </x:c>
      <x:c r="R9" s="20" t="str">
        <x:f>IF(A9="","",Q9*Settings!$B$8)</x:f>
      </x:c>
      <x:c r="S9" s="20" t="str">
        <x:f>IF(A9="","",M9+N9)</x:f>
      </x:c>
      <x:c r="T9" s="20" t="str">
        <x:f>IF(A9="","",S9+R9)</x:f>
      </x:c>
    </x:row>
    <x:row r="10">
      <x:c r="A10" s="26"/>
      <x:c r="B10" s="26" t="str">
        <x:f>IF(A10="","",A10-MOD(WEEKDAY(A10,2)-5,7))</x:f>
      </x:c>
      <x:c r="C10" s="26" t="str">
        <x:f>IF(B10="","",B10+7)</x:f>
      </x:c>
      <x:c r="D10" t="str">
        <x:f>IF(A10="","",TEXT(A10,"dddd"))</x:f>
      </x:c>
      <x:c r="E10" s="24"/>
      <x:c r="F10" s="24"/>
      <x:c r="G10" s="32" t="n">
        <x:f>IF(AND(E10&lt;Settings!$B$11,F10&gt;Settings!$B$11),Settings!$B$12,0)</x:f>
        <x:v>0</x:v>
      </x:c>
      <x:c r="H10" s="32" t="n">
        <x:f>IF(AND(E10&lt;Settings!$B$13,F10&gt;Settings!$B$13),Settings!$B$14,0)</x:f>
        <x:v>0</x:v>
      </x:c>
      <x:c r="I10" s="32" t="str">
        <x:f>IF(A10="","",G10+H10)</x:f>
      </x:c>
      <x:c r="J10" s="22" t="str">
        <x:f>IF(A10="","",((F10-E10)*24)-(I10/60))</x:f>
      </x:c>
      <x:c r="K10" s="22" t="str">
        <x:f>IF(A10="","",MIN(J10,8))</x:f>
      </x:c>
      <x:c r="L10" s="22" t="str">
        <x:f>IF(A10="","",MAX(J10-8,0))</x:f>
      </x:c>
      <x:c r="M10" s="20" t="str">
        <x:f>IF(A10="","",K10*Settings!$B$5)</x:f>
      </x:c>
      <x:c r="N10" s="20" t="str">
        <x:f>IF(A10="","",L10*Settings!$B$6)</x:f>
      </x:c>
      <x:c r="O10" s="22"/>
      <x:c r="P10" s="22"/>
      <x:c r="Q10" s="22" t="str">
        <x:f>IF(A10="","",MAX(O10-Settings!$B$7,0))</x:f>
      </x:c>
      <x:c r="R10" s="20" t="str">
        <x:f>IF(A10="","",Q10*Settings!$B$8)</x:f>
      </x:c>
      <x:c r="S10" s="20" t="str">
        <x:f>IF(A10="","",M10+N10)</x:f>
      </x:c>
      <x:c r="T10" s="20" t="str">
        <x:f>IF(A10="","",S10+R10)</x:f>
      </x:c>
    </x:row>
    <x:row r="11">
      <x:c r="A11" s="26"/>
      <x:c r="B11" s="26" t="str">
        <x:f>IF(A11="","",A11-MOD(WEEKDAY(A11,2)-5,7))</x:f>
      </x:c>
      <x:c r="C11" s="26" t="str">
        <x:f>IF(B11="","",B11+7)</x:f>
      </x:c>
      <x:c r="D11" t="str">
        <x:f>IF(A11="","",TEXT(A11,"dddd"))</x:f>
      </x:c>
      <x:c r="E11" s="24"/>
      <x:c r="F11" s="24"/>
      <x:c r="G11" s="32" t="n">
        <x:f>IF(AND(E11&lt;Settings!$B$11,F11&gt;Settings!$B$11),Settings!$B$12,0)</x:f>
        <x:v>0</x:v>
      </x:c>
      <x:c r="H11" s="32" t="n">
        <x:f>IF(AND(E11&lt;Settings!$B$13,F11&gt;Settings!$B$13),Settings!$B$14,0)</x:f>
        <x:v>0</x:v>
      </x:c>
      <x:c r="I11" s="32" t="str">
        <x:f>IF(A11="","",G11+H11)</x:f>
      </x:c>
      <x:c r="J11" s="22" t="str">
        <x:f>IF(A11="","",((F11-E11)*24)-(I11/60))</x:f>
      </x:c>
      <x:c r="K11" s="22" t="str">
        <x:f>IF(A11="","",MIN(J11,8))</x:f>
      </x:c>
      <x:c r="L11" s="22" t="str">
        <x:f>IF(A11="","",MAX(J11-8,0))</x:f>
      </x:c>
      <x:c r="M11" s="20" t="str">
        <x:f>IF(A11="","",K11*Settings!$B$5)</x:f>
      </x:c>
      <x:c r="N11" s="20" t="str">
        <x:f>IF(A11="","",L11*Settings!$B$6)</x:f>
      </x:c>
      <x:c r="O11" s="22"/>
      <x:c r="P11" s="22"/>
      <x:c r="Q11" s="22" t="str">
        <x:f>IF(A11="","",MAX(O11-Settings!$B$7,0))</x:f>
      </x:c>
      <x:c r="R11" s="20" t="str">
        <x:f>IF(A11="","",Q11*Settings!$B$8)</x:f>
      </x:c>
      <x:c r="S11" s="20" t="str">
        <x:f>IF(A11="","",M11+N11)</x:f>
      </x:c>
      <x:c r="T11" s="20" t="str">
        <x:f>IF(A11="","",S11+R11)</x:f>
      </x:c>
    </x:row>
    <x:row r="12">
      <x:c r="A12" s="26"/>
      <x:c r="B12" s="26" t="str">
        <x:f>IF(A12="","",A12-MOD(WEEKDAY(A12,2)-5,7))</x:f>
      </x:c>
      <x:c r="C12" s="26" t="str">
        <x:f>IF(B12="","",B12+7)</x:f>
      </x:c>
      <x:c r="D12" t="str">
        <x:f>IF(A12="","",TEXT(A12,"dddd"))</x:f>
      </x:c>
      <x:c r="E12" s="24"/>
      <x:c r="F12" s="24"/>
      <x:c r="G12" s="32" t="n">
        <x:f>IF(AND(E12&lt;Settings!$B$11,F12&gt;Settings!$B$11),Settings!$B$12,0)</x:f>
        <x:v>0</x:v>
      </x:c>
      <x:c r="H12" s="32" t="n">
        <x:f>IF(AND(E12&lt;Settings!$B$13,F12&gt;Settings!$B$13),Settings!$B$14,0)</x:f>
        <x:v>0</x:v>
      </x:c>
      <x:c r="I12" s="32" t="str">
        <x:f>IF(A12="","",G12+H12)</x:f>
      </x:c>
      <x:c r="J12" s="22" t="str">
        <x:f>IF(A12="","",((F12-E12)*24)-(I12/60))</x:f>
      </x:c>
      <x:c r="K12" s="22" t="str">
        <x:f>IF(A12="","",MIN(J12,8))</x:f>
      </x:c>
      <x:c r="L12" s="22" t="str">
        <x:f>IF(A12="","",MAX(J12-8,0))</x:f>
      </x:c>
      <x:c r="M12" s="20" t="str">
        <x:f>IF(A12="","",K12*Settings!$B$5)</x:f>
      </x:c>
      <x:c r="N12" s="20" t="str">
        <x:f>IF(A12="","",L12*Settings!$B$6)</x:f>
      </x:c>
      <x:c r="O12" s="22"/>
      <x:c r="P12" s="22"/>
      <x:c r="Q12" s="22" t="str">
        <x:f>IF(A12="","",MAX(O12-Settings!$B$7,0))</x:f>
      </x:c>
      <x:c r="R12" s="20" t="str">
        <x:f>IF(A12="","",Q12*Settings!$B$8)</x:f>
      </x:c>
      <x:c r="S12" s="20" t="str">
        <x:f>IF(A12="","",M12+N12)</x:f>
      </x:c>
      <x:c r="T12" s="20" t="str">
        <x:f>IF(A12="","",S12+R12)</x:f>
      </x:c>
    </x:row>
    <x:row r="13">
      <x:c r="A13" s="26"/>
      <x:c r="B13" s="26" t="str">
        <x:f>IF(A13="","",A13-MOD(WEEKDAY(A13,2)-5,7))</x:f>
      </x:c>
      <x:c r="C13" s="26" t="str">
        <x:f>IF(B13="","",B13+7)</x:f>
      </x:c>
      <x:c r="D13" t="str">
        <x:f>IF(A13="","",TEXT(A13,"dddd"))</x:f>
      </x:c>
      <x:c r="E13" s="24"/>
      <x:c r="F13" s="24"/>
      <x:c r="G13" s="32" t="n">
        <x:f>IF(AND(E13&lt;Settings!$B$11,F13&gt;Settings!$B$11),Settings!$B$12,0)</x:f>
        <x:v>0</x:v>
      </x:c>
      <x:c r="H13" s="32" t="n">
        <x:f>IF(AND(E13&lt;Settings!$B$13,F13&gt;Settings!$B$13),Settings!$B$14,0)</x:f>
        <x:v>0</x:v>
      </x:c>
      <x:c r="I13" s="32" t="str">
        <x:f>IF(A13="","",G13+H13)</x:f>
      </x:c>
      <x:c r="J13" s="22" t="str">
        <x:f>IF(A13="","",((F13-E13)*24)-(I13/60))</x:f>
      </x:c>
      <x:c r="K13" s="22" t="str">
        <x:f>IF(A13="","",MIN(J13,8))</x:f>
      </x:c>
      <x:c r="L13" s="22" t="str">
        <x:f>IF(A13="","",MAX(J13-8,0))</x:f>
      </x:c>
      <x:c r="M13" s="20" t="str">
        <x:f>IF(A13="","",K13*Settings!$B$5)</x:f>
      </x:c>
      <x:c r="N13" s="20" t="str">
        <x:f>IF(A13="","",L13*Settings!$B$6)</x:f>
      </x:c>
      <x:c r="O13" s="22"/>
      <x:c r="P13" s="22"/>
      <x:c r="Q13" s="22" t="str">
        <x:f>IF(A13="","",MAX(O13-Settings!$B$7,0))</x:f>
      </x:c>
      <x:c r="R13" s="20" t="str">
        <x:f>IF(A13="","",Q13*Settings!$B$8)</x:f>
      </x:c>
      <x:c r="S13" s="20" t="str">
        <x:f>IF(A13="","",M13+N13)</x:f>
      </x:c>
      <x:c r="T13" s="20" t="str">
        <x:f>IF(A13="","",S13+R13)</x:f>
      </x:c>
    </x:row>
    <x:row r="14">
      <x:c r="A14" s="26"/>
      <x:c r="B14" s="26" t="str">
        <x:f>IF(A14="","",A14-MOD(WEEKDAY(A14,2)-5,7))</x:f>
      </x:c>
      <x:c r="C14" s="26" t="str">
        <x:f>IF(B14="","",B14+7)</x:f>
      </x:c>
      <x:c r="D14" t="str">
        <x:f>IF(A14="","",TEXT(A14,"dddd"))</x:f>
      </x:c>
      <x:c r="E14" s="24"/>
      <x:c r="F14" s="24"/>
      <x:c r="G14" s="32" t="n">
        <x:f>IF(AND(E14&lt;Settings!$B$11,F14&gt;Settings!$B$11),Settings!$B$12,0)</x:f>
        <x:v>0</x:v>
      </x:c>
      <x:c r="H14" s="32" t="n">
        <x:f>IF(AND(E14&lt;Settings!$B$13,F14&gt;Settings!$B$13),Settings!$B$14,0)</x:f>
        <x:v>0</x:v>
      </x:c>
      <x:c r="I14" s="32" t="str">
        <x:f>IF(A14="","",G14+H14)</x:f>
      </x:c>
      <x:c r="J14" s="22" t="str">
        <x:f>IF(A14="","",((F14-E14)*24)-(I14/60))</x:f>
      </x:c>
      <x:c r="K14" s="22" t="str">
        <x:f>IF(A14="","",MIN(J14,8))</x:f>
      </x:c>
      <x:c r="L14" s="22" t="str">
        <x:f>IF(A14="","",MAX(J14-8,0))</x:f>
      </x:c>
      <x:c r="M14" s="20" t="str">
        <x:f>IF(A14="","",K14*Settings!$B$5)</x:f>
      </x:c>
      <x:c r="N14" s="20" t="str">
        <x:f>IF(A14="","",L14*Settings!$B$6)</x:f>
      </x:c>
      <x:c r="O14" s="22"/>
      <x:c r="P14" s="22"/>
      <x:c r="Q14" s="22" t="str">
        <x:f>IF(A14="","",MAX(O14-Settings!$B$7,0))</x:f>
      </x:c>
      <x:c r="R14" s="20" t="str">
        <x:f>IF(A14="","",Q14*Settings!$B$8)</x:f>
      </x:c>
      <x:c r="S14" s="20" t="str">
        <x:f>IF(A14="","",M14+N14)</x:f>
      </x:c>
      <x:c r="T14" s="20" t="str">
        <x:f>IF(A14="","",S14+R14)</x:f>
      </x:c>
    </x:row>
    <x:row r="15">
      <x:c r="A15" s="26"/>
      <x:c r="B15" s="26" t="str">
        <x:f>IF(A15="","",A15-MOD(WEEKDAY(A15,2)-5,7))</x:f>
      </x:c>
      <x:c r="C15" s="26" t="str">
        <x:f>IF(B15="","",B15+7)</x:f>
      </x:c>
      <x:c r="D15" t="str">
        <x:f>IF(A15="","",TEXT(A15,"dddd"))</x:f>
      </x:c>
      <x:c r="E15" s="24"/>
      <x:c r="F15" s="24"/>
      <x:c r="G15" s="32" t="n">
        <x:f>IF(AND(E15&lt;Settings!$B$11,F15&gt;Settings!$B$11),Settings!$B$12,0)</x:f>
        <x:v>0</x:v>
      </x:c>
      <x:c r="H15" s="32" t="n">
        <x:f>IF(AND(E15&lt;Settings!$B$13,F15&gt;Settings!$B$13),Settings!$B$14,0)</x:f>
        <x:v>0</x:v>
      </x:c>
      <x:c r="I15" s="32" t="str">
        <x:f>IF(A15="","",G15+H15)</x:f>
      </x:c>
      <x:c r="J15" s="22" t="str">
        <x:f>IF(A15="","",((F15-E15)*24)-(I15/60))</x:f>
      </x:c>
      <x:c r="K15" s="22" t="str">
        <x:f>IF(A15="","",MIN(J15,8))</x:f>
      </x:c>
      <x:c r="L15" s="22" t="str">
        <x:f>IF(A15="","",MAX(J15-8,0))</x:f>
      </x:c>
      <x:c r="M15" s="20" t="str">
        <x:f>IF(A15="","",K15*Settings!$B$5)</x:f>
      </x:c>
      <x:c r="N15" s="20" t="str">
        <x:f>IF(A15="","",L15*Settings!$B$6)</x:f>
      </x:c>
      <x:c r="O15" s="22"/>
      <x:c r="P15" s="22"/>
      <x:c r="Q15" s="22" t="str">
        <x:f>IF(A15="","",MAX(O15-Settings!$B$7,0))</x:f>
      </x:c>
      <x:c r="R15" s="20" t="str">
        <x:f>IF(A15="","",Q15*Settings!$B$8)</x:f>
      </x:c>
      <x:c r="S15" s="20" t="str">
        <x:f>IF(A15="","",M15+N15)</x:f>
      </x:c>
      <x:c r="T15" s="20" t="str">
        <x:f>IF(A15="","",S15+R15)</x:f>
      </x:c>
    </x:row>
    <x:row r="16">
      <x:c r="A16" s="26"/>
      <x:c r="B16" s="26" t="str">
        <x:f>IF(A16="","",A16-MOD(WEEKDAY(A16,2)-5,7))</x:f>
      </x:c>
      <x:c r="C16" s="26" t="str">
        <x:f>IF(B16="","",B16+7)</x:f>
      </x:c>
      <x:c r="D16" t="str">
        <x:f>IF(A16="","",TEXT(A16,"dddd"))</x:f>
      </x:c>
      <x:c r="E16" s="24"/>
      <x:c r="F16" s="24"/>
      <x:c r="G16" s="32" t="n">
        <x:f>IF(AND(E16&lt;Settings!$B$11,F16&gt;Settings!$B$11),Settings!$B$12,0)</x:f>
        <x:v>0</x:v>
      </x:c>
      <x:c r="H16" s="32" t="n">
        <x:f>IF(AND(E16&lt;Settings!$B$13,F16&gt;Settings!$B$13),Settings!$B$14,0)</x:f>
        <x:v>0</x:v>
      </x:c>
      <x:c r="I16" s="32" t="str">
        <x:f>IF(A16="","",G16+H16)</x:f>
      </x:c>
      <x:c r="J16" s="22" t="str">
        <x:f>IF(A16="","",((F16-E16)*24)-(I16/60))</x:f>
      </x:c>
      <x:c r="K16" s="22" t="str">
        <x:f>IF(A16="","",MIN(J16,8))</x:f>
      </x:c>
      <x:c r="L16" s="22" t="str">
        <x:f>IF(A16="","",MAX(J16-8,0))</x:f>
      </x:c>
      <x:c r="M16" s="20" t="str">
        <x:f>IF(A16="","",K16*Settings!$B$5)</x:f>
      </x:c>
      <x:c r="N16" s="20" t="str">
        <x:f>IF(A16="","",L16*Settings!$B$6)</x:f>
      </x:c>
      <x:c r="O16" s="22"/>
      <x:c r="P16" s="22"/>
      <x:c r="Q16" s="22" t="str">
        <x:f>IF(A16="","",MAX(O16-Settings!$B$7,0))</x:f>
      </x:c>
      <x:c r="R16" s="20" t="str">
        <x:f>IF(A16="","",Q16*Settings!$B$8)</x:f>
      </x:c>
      <x:c r="S16" s="20" t="str">
        <x:f>IF(A16="","",M16+N16)</x:f>
      </x:c>
      <x:c r="T16" s="20" t="str">
        <x:f>IF(A16="","",S16+R16)</x:f>
      </x:c>
    </x:row>
    <x:row r="17">
      <x:c r="A17" s="26"/>
      <x:c r="B17" s="26" t="str">
        <x:f>IF(A17="","",A17-MOD(WEEKDAY(A17,2)-5,7))</x:f>
      </x:c>
      <x:c r="C17" s="26" t="str">
        <x:f>IF(B17="","",B17+7)</x:f>
      </x:c>
      <x:c r="D17" t="str">
        <x:f>IF(A17="","",TEXT(A17,"dddd"))</x:f>
      </x:c>
      <x:c r="E17" s="24"/>
      <x:c r="F17" s="24"/>
      <x:c r="G17" s="32" t="n">
        <x:f>IF(AND(E17&lt;Settings!$B$11,F17&gt;Settings!$B$11),Settings!$B$12,0)</x:f>
        <x:v>0</x:v>
      </x:c>
      <x:c r="H17" s="32" t="n">
        <x:f>IF(AND(E17&lt;Settings!$B$13,F17&gt;Settings!$B$13),Settings!$B$14,0)</x:f>
        <x:v>0</x:v>
      </x:c>
      <x:c r="I17" s="32" t="str">
        <x:f>IF(A17="","",G17+H17)</x:f>
      </x:c>
      <x:c r="J17" s="22" t="str">
        <x:f>IF(A17="","",((F17-E17)*24)-(I17/60))</x:f>
      </x:c>
      <x:c r="K17" s="22" t="str">
        <x:f>IF(A17="","",MIN(J17,8))</x:f>
      </x:c>
      <x:c r="L17" s="22" t="str">
        <x:f>IF(A17="","",MAX(J17-8,0))</x:f>
      </x:c>
      <x:c r="M17" s="20" t="str">
        <x:f>IF(A17="","",K17*Settings!$B$5)</x:f>
      </x:c>
      <x:c r="N17" s="20" t="str">
        <x:f>IF(A17="","",L17*Settings!$B$6)</x:f>
      </x:c>
      <x:c r="O17" s="22"/>
      <x:c r="P17" s="22"/>
      <x:c r="Q17" s="22" t="str">
        <x:f>IF(A17="","",MAX(O17-Settings!$B$7,0))</x:f>
      </x:c>
      <x:c r="R17" s="20" t="str">
        <x:f>IF(A17="","",Q17*Settings!$B$8)</x:f>
      </x:c>
      <x:c r="S17" s="20" t="str">
        <x:f>IF(A17="","",M17+N17)</x:f>
      </x:c>
      <x:c r="T17" s="20" t="str">
        <x:f>IF(A17="","",S17+R17)</x:f>
      </x:c>
    </x:row>
    <x:row r="18">
      <x:c r="A18" s="26"/>
      <x:c r="B18" s="26" t="str">
        <x:f>IF(A18="","",A18-MOD(WEEKDAY(A18,2)-5,7))</x:f>
      </x:c>
      <x:c r="C18" s="26" t="str">
        <x:f>IF(B18="","",B18+7)</x:f>
      </x:c>
      <x:c r="D18" t="str">
        <x:f>IF(A18="","",TEXT(A18,"dddd"))</x:f>
      </x:c>
      <x:c r="E18" s="24"/>
      <x:c r="F18" s="24"/>
      <x:c r="G18" s="32" t="n">
        <x:f>IF(AND(E18&lt;Settings!$B$11,F18&gt;Settings!$B$11),Settings!$B$12,0)</x:f>
        <x:v>0</x:v>
      </x:c>
      <x:c r="H18" s="32" t="n">
        <x:f>IF(AND(E18&lt;Settings!$B$13,F18&gt;Settings!$B$13),Settings!$B$14,0)</x:f>
        <x:v>0</x:v>
      </x:c>
      <x:c r="I18" s="32" t="str">
        <x:f>IF(A18="","",G18+H18)</x:f>
      </x:c>
      <x:c r="J18" s="22" t="str">
        <x:f>IF(A18="","",((F18-E18)*24)-(I18/60))</x:f>
      </x:c>
      <x:c r="K18" s="22" t="str">
        <x:f>IF(A18="","",MIN(J18,8))</x:f>
      </x:c>
      <x:c r="L18" s="22" t="str">
        <x:f>IF(A18="","",MAX(J18-8,0))</x:f>
      </x:c>
      <x:c r="M18" s="20" t="str">
        <x:f>IF(A18="","",K18*Settings!$B$5)</x:f>
      </x:c>
      <x:c r="N18" s="20" t="str">
        <x:f>IF(A18="","",L18*Settings!$B$6)</x:f>
      </x:c>
      <x:c r="O18" s="22"/>
      <x:c r="P18" s="22"/>
      <x:c r="Q18" s="22" t="str">
        <x:f>IF(A18="","",MAX(O18-Settings!$B$7,0))</x:f>
      </x:c>
      <x:c r="R18" s="20" t="str">
        <x:f>IF(A18="","",Q18*Settings!$B$8)</x:f>
      </x:c>
      <x:c r="S18" s="20" t="str">
        <x:f>IF(A18="","",M18+N18)</x:f>
      </x:c>
      <x:c r="T18" s="20" t="str">
        <x:f>IF(A18="","",S18+R18)</x:f>
      </x:c>
    </x:row>
    <x:row r="19">
      <x:c r="A19" s="26"/>
      <x:c r="B19" s="26" t="str">
        <x:f>IF(A19="","",A19-MOD(WEEKDAY(A19,2)-5,7))</x:f>
      </x:c>
      <x:c r="C19" s="26" t="str">
        <x:f>IF(B19="","",B19+7)</x:f>
      </x:c>
      <x:c r="D19" t="str">
        <x:f>IF(A19="","",TEXT(A19,"dddd"))</x:f>
      </x:c>
      <x:c r="E19" s="24"/>
      <x:c r="F19" s="24"/>
      <x:c r="G19" s="32" t="n">
        <x:f>IF(AND(E19&lt;Settings!$B$11,F19&gt;Settings!$B$11),Settings!$B$12,0)</x:f>
        <x:v>0</x:v>
      </x:c>
      <x:c r="H19" s="32" t="n">
        <x:f>IF(AND(E19&lt;Settings!$B$13,F19&gt;Settings!$B$13),Settings!$B$14,0)</x:f>
        <x:v>0</x:v>
      </x:c>
      <x:c r="I19" s="32" t="str">
        <x:f>IF(A19="","",G19+H19)</x:f>
      </x:c>
      <x:c r="J19" s="22" t="str">
        <x:f>IF(A19="","",((F19-E19)*24)-(I19/60))</x:f>
      </x:c>
      <x:c r="K19" s="22" t="str">
        <x:f>IF(A19="","",MIN(J19,8))</x:f>
      </x:c>
      <x:c r="L19" s="22" t="str">
        <x:f>IF(A19="","",MAX(J19-8,0))</x:f>
      </x:c>
      <x:c r="M19" s="20" t="str">
        <x:f>IF(A19="","",K19*Settings!$B$5)</x:f>
      </x:c>
      <x:c r="N19" s="20" t="str">
        <x:f>IF(A19="","",L19*Settings!$B$6)</x:f>
      </x:c>
      <x:c r="O19" s="22"/>
      <x:c r="P19" s="22"/>
      <x:c r="Q19" s="22" t="str">
        <x:f>IF(A19="","",MAX(O19-Settings!$B$7,0))</x:f>
      </x:c>
      <x:c r="R19" s="20" t="str">
        <x:f>IF(A19="","",Q19*Settings!$B$8)</x:f>
      </x:c>
      <x:c r="S19" s="20" t="str">
        <x:f>IF(A19="","",M19+N19)</x:f>
      </x:c>
      <x:c r="T19" s="20" t="str">
        <x:f>IF(A19="","",S19+R19)</x:f>
      </x:c>
    </x:row>
    <x:row r="20">
      <x:c r="A20" s="26"/>
      <x:c r="B20" s="26" t="str">
        <x:f>IF(A20="","",A20-MOD(WEEKDAY(A20,2)-5,7))</x:f>
      </x:c>
      <x:c r="C20" s="26" t="str">
        <x:f>IF(B20="","",B20+7)</x:f>
      </x:c>
      <x:c r="D20" t="str">
        <x:f>IF(A20="","",TEXT(A20,"dddd"))</x:f>
      </x:c>
      <x:c r="E20" s="24"/>
      <x:c r="F20" s="24"/>
      <x:c r="G20" s="32" t="n">
        <x:f>IF(AND(E20&lt;Settings!$B$11,F20&gt;Settings!$B$11),Settings!$B$12,0)</x:f>
        <x:v>0</x:v>
      </x:c>
      <x:c r="H20" s="32" t="n">
        <x:f>IF(AND(E20&lt;Settings!$B$13,F20&gt;Settings!$B$13),Settings!$B$14,0)</x:f>
        <x:v>0</x:v>
      </x:c>
      <x:c r="I20" s="32" t="str">
        <x:f>IF(A20="","",G20+H20)</x:f>
      </x:c>
      <x:c r="J20" s="22" t="str">
        <x:f>IF(A20="","",((F20-E20)*24)-(I20/60))</x:f>
      </x:c>
      <x:c r="K20" s="22" t="str">
        <x:f>IF(A20="","",MIN(J20,8))</x:f>
      </x:c>
      <x:c r="L20" s="22" t="str">
        <x:f>IF(A20="","",MAX(J20-8,0))</x:f>
      </x:c>
      <x:c r="M20" s="20" t="str">
        <x:f>IF(A20="","",K20*Settings!$B$5)</x:f>
      </x:c>
      <x:c r="N20" s="20" t="str">
        <x:f>IF(A20="","",L20*Settings!$B$6)</x:f>
      </x:c>
      <x:c r="O20" s="22"/>
      <x:c r="P20" s="22"/>
      <x:c r="Q20" s="22" t="str">
        <x:f>IF(A20="","",MAX(O20-Settings!$B$7,0))</x:f>
      </x:c>
      <x:c r="R20" s="20" t="str">
        <x:f>IF(A20="","",Q20*Settings!$B$8)</x:f>
      </x:c>
      <x:c r="S20" s="20" t="str">
        <x:f>IF(A20="","",M20+N20)</x:f>
      </x:c>
      <x:c r="T20" s="20" t="str">
        <x:f>IF(A20="","",S20+R20)</x:f>
      </x:c>
    </x:row>
    <x:row r="21">
      <x:c r="A21" s="26"/>
      <x:c r="B21" s="26" t="str">
        <x:f>IF(A21="","",A21-MOD(WEEKDAY(A21,2)-5,7))</x:f>
      </x:c>
      <x:c r="C21" s="26" t="str">
        <x:f>IF(B21="","",B21+7)</x:f>
      </x:c>
      <x:c r="D21" t="str">
        <x:f>IF(A21="","",TEXT(A21,"dddd"))</x:f>
      </x:c>
      <x:c r="E21" s="24"/>
      <x:c r="F21" s="24"/>
      <x:c r="G21" s="32" t="n">
        <x:f>IF(AND(E21&lt;Settings!$B$11,F21&gt;Settings!$B$11),Settings!$B$12,0)</x:f>
        <x:v>0</x:v>
      </x:c>
      <x:c r="H21" s="32" t="n">
        <x:f>IF(AND(E21&lt;Settings!$B$13,F21&gt;Settings!$B$13),Settings!$B$14,0)</x:f>
        <x:v>0</x:v>
      </x:c>
      <x:c r="I21" s="32" t="str">
        <x:f>IF(A21="","",G21+H21)</x:f>
      </x:c>
      <x:c r="J21" s="22" t="str">
        <x:f>IF(A21="","",((F21-E21)*24)-(I21/60))</x:f>
      </x:c>
      <x:c r="K21" s="22" t="str">
        <x:f>IF(A21="","",MIN(J21,8))</x:f>
      </x:c>
      <x:c r="L21" s="22" t="str">
        <x:f>IF(A21="","",MAX(J21-8,0))</x:f>
      </x:c>
      <x:c r="M21" s="20" t="str">
        <x:f>IF(A21="","",K21*Settings!$B$5)</x:f>
      </x:c>
      <x:c r="N21" s="20" t="str">
        <x:f>IF(A21="","",L21*Settings!$B$6)</x:f>
      </x:c>
      <x:c r="O21" s="22"/>
      <x:c r="P21" s="22"/>
      <x:c r="Q21" s="22" t="str">
        <x:f>IF(A21="","",MAX(O21-Settings!$B$7,0))</x:f>
      </x:c>
      <x:c r="R21" s="20" t="str">
        <x:f>IF(A21="","",Q21*Settings!$B$8)</x:f>
      </x:c>
      <x:c r="S21" s="20" t="str">
        <x:f>IF(A21="","",M21+N21)</x:f>
      </x:c>
      <x:c r="T21" s="20" t="str">
        <x:f>IF(A21="","",S21+R21)</x:f>
      </x:c>
    </x:row>
    <x:row r="22">
      <x:c r="A22" s="26"/>
      <x:c r="B22" s="26" t="str">
        <x:f>IF(A22="","",A22-MOD(WEEKDAY(A22,2)-5,7))</x:f>
      </x:c>
      <x:c r="C22" s="26" t="str">
        <x:f>IF(B22="","",B22+7)</x:f>
      </x:c>
      <x:c r="D22" t="str">
        <x:f>IF(A22="","",TEXT(A22,"dddd"))</x:f>
      </x:c>
      <x:c r="E22" s="24"/>
      <x:c r="F22" s="24"/>
      <x:c r="G22" s="32" t="n">
        <x:f>IF(AND(E22&lt;Settings!$B$11,F22&gt;Settings!$B$11),Settings!$B$12,0)</x:f>
        <x:v>0</x:v>
      </x:c>
      <x:c r="H22" s="32" t="n">
        <x:f>IF(AND(E22&lt;Settings!$B$13,F22&gt;Settings!$B$13),Settings!$B$14,0)</x:f>
        <x:v>0</x:v>
      </x:c>
      <x:c r="I22" s="32" t="str">
        <x:f>IF(A22="","",G22+H22)</x:f>
      </x:c>
      <x:c r="J22" s="22" t="str">
        <x:f>IF(A22="","",((F22-E22)*24)-(I22/60))</x:f>
      </x:c>
      <x:c r="K22" s="22" t="str">
        <x:f>IF(A22="","",MIN(J22,8))</x:f>
      </x:c>
      <x:c r="L22" s="22" t="str">
        <x:f>IF(A22="","",MAX(J22-8,0))</x:f>
      </x:c>
      <x:c r="M22" s="20" t="str">
        <x:f>IF(A22="","",K22*Settings!$B$5)</x:f>
      </x:c>
      <x:c r="N22" s="20" t="str">
        <x:f>IF(A22="","",L22*Settings!$B$6)</x:f>
      </x:c>
      <x:c r="O22" s="22"/>
      <x:c r="P22" s="22"/>
      <x:c r="Q22" s="22" t="str">
        <x:f>IF(A22="","",MAX(O22-Settings!$B$7,0))</x:f>
      </x:c>
      <x:c r="R22" s="20" t="str">
        <x:f>IF(A22="","",Q22*Settings!$B$8)</x:f>
      </x:c>
      <x:c r="S22" s="20" t="str">
        <x:f>IF(A22="","",M22+N22)</x:f>
      </x:c>
      <x:c r="T22" s="20" t="str">
        <x:f>IF(A22="","",S22+R22)</x:f>
      </x:c>
    </x:row>
    <x:row r="23">
      <x:c r="A23" s="26"/>
      <x:c r="B23" s="26" t="str">
        <x:f>IF(A23="","",A23-MOD(WEEKDAY(A23,2)-5,7))</x:f>
      </x:c>
      <x:c r="C23" s="26" t="str">
        <x:f>IF(B23="","",B23+7)</x:f>
      </x:c>
      <x:c r="D23" t="str">
        <x:f>IF(A23="","",TEXT(A23,"dddd"))</x:f>
      </x:c>
      <x:c r="E23" s="24"/>
      <x:c r="F23" s="24"/>
      <x:c r="G23" s="32" t="n">
        <x:f>IF(AND(E23&lt;Settings!$B$11,F23&gt;Settings!$B$11),Settings!$B$12,0)</x:f>
        <x:v>0</x:v>
      </x:c>
      <x:c r="H23" s="32" t="n">
        <x:f>IF(AND(E23&lt;Settings!$B$13,F23&gt;Settings!$B$13),Settings!$B$14,0)</x:f>
        <x:v>0</x:v>
      </x:c>
      <x:c r="I23" s="32" t="str">
        <x:f>IF(A23="","",G23+H23)</x:f>
      </x:c>
      <x:c r="J23" s="22" t="str">
        <x:f>IF(A23="","",((F23-E23)*24)-(I23/60))</x:f>
      </x:c>
      <x:c r="K23" s="22" t="str">
        <x:f>IF(A23="","",MIN(J23,8))</x:f>
      </x:c>
      <x:c r="L23" s="22" t="str">
        <x:f>IF(A23="","",MAX(J23-8,0))</x:f>
      </x:c>
      <x:c r="M23" s="20" t="str">
        <x:f>IF(A23="","",K23*Settings!$B$5)</x:f>
      </x:c>
      <x:c r="N23" s="20" t="str">
        <x:f>IF(A23="","",L23*Settings!$B$6)</x:f>
      </x:c>
      <x:c r="O23" s="22"/>
      <x:c r="P23" s="22"/>
      <x:c r="Q23" s="22" t="str">
        <x:f>IF(A23="","",MAX(O23-Settings!$B$7,0))</x:f>
      </x:c>
      <x:c r="R23" s="20" t="str">
        <x:f>IF(A23="","",Q23*Settings!$B$8)</x:f>
      </x:c>
      <x:c r="S23" s="20" t="str">
        <x:f>IF(A23="","",M23+N23)</x:f>
      </x:c>
      <x:c r="T23" s="20" t="str">
        <x:f>IF(A23="","",S23+R23)</x:f>
      </x:c>
    </x:row>
    <x:row r="24">
      <x:c r="A24" s="26"/>
      <x:c r="B24" s="26" t="str">
        <x:f>IF(A24="","",A24-MOD(WEEKDAY(A24,2)-5,7))</x:f>
      </x:c>
      <x:c r="C24" s="26" t="str">
        <x:f>IF(B24="","",B24+7)</x:f>
      </x:c>
      <x:c r="D24" t="str">
        <x:f>IF(A24="","",TEXT(A24,"dddd"))</x:f>
      </x:c>
      <x:c r="E24" s="24"/>
      <x:c r="F24" s="24"/>
      <x:c r="G24" s="32" t="n">
        <x:f>IF(AND(E24&lt;Settings!$B$11,F24&gt;Settings!$B$11),Settings!$B$12,0)</x:f>
        <x:v>0</x:v>
      </x:c>
      <x:c r="H24" s="32" t="n">
        <x:f>IF(AND(E24&lt;Settings!$B$13,F24&gt;Settings!$B$13),Settings!$B$14,0)</x:f>
        <x:v>0</x:v>
      </x:c>
      <x:c r="I24" s="32" t="str">
        <x:f>IF(A24="","",G24+H24)</x:f>
      </x:c>
      <x:c r="J24" s="22" t="str">
        <x:f>IF(A24="","",((F24-E24)*24)-(I24/60))</x:f>
      </x:c>
      <x:c r="K24" s="22" t="str">
        <x:f>IF(A24="","",MIN(J24,8))</x:f>
      </x:c>
      <x:c r="L24" s="22" t="str">
        <x:f>IF(A24="","",MAX(J24-8,0))</x:f>
      </x:c>
      <x:c r="M24" s="20" t="str">
        <x:f>IF(A24="","",K24*Settings!$B$5)</x:f>
      </x:c>
      <x:c r="N24" s="20" t="str">
        <x:f>IF(A24="","",L24*Settings!$B$6)</x:f>
      </x:c>
      <x:c r="O24" s="22"/>
      <x:c r="P24" s="22"/>
      <x:c r="Q24" s="22" t="str">
        <x:f>IF(A24="","",MAX(O24-Settings!$B$7,0))</x:f>
      </x:c>
      <x:c r="R24" s="20" t="str">
        <x:f>IF(A24="","",Q24*Settings!$B$8)</x:f>
      </x:c>
      <x:c r="S24" s="20" t="str">
        <x:f>IF(A24="","",M24+N24)</x:f>
      </x:c>
      <x:c r="T24" s="20" t="str">
        <x:f>IF(A24="","",S24+R24)</x:f>
      </x:c>
    </x:row>
    <x:row r="25">
      <x:c r="A25" s="26"/>
      <x:c r="B25" s="26" t="str">
        <x:f>IF(A25="","",A25-MOD(WEEKDAY(A25,2)-5,7))</x:f>
      </x:c>
      <x:c r="C25" s="26" t="str">
        <x:f>IF(B25="","",B25+7)</x:f>
      </x:c>
      <x:c r="D25" t="str">
        <x:f>IF(A25="","",TEXT(A25,"dddd"))</x:f>
      </x:c>
      <x:c r="E25" s="24"/>
      <x:c r="F25" s="24"/>
      <x:c r="G25" s="32" t="n">
        <x:f>IF(AND(E25&lt;Settings!$B$11,F25&gt;Settings!$B$11),Settings!$B$12,0)</x:f>
        <x:v>0</x:v>
      </x:c>
      <x:c r="H25" s="32" t="n">
        <x:f>IF(AND(E25&lt;Settings!$B$13,F25&gt;Settings!$B$13),Settings!$B$14,0)</x:f>
        <x:v>0</x:v>
      </x:c>
      <x:c r="I25" s="32" t="str">
        <x:f>IF(A25="","",G25+H25)</x:f>
      </x:c>
      <x:c r="J25" s="22" t="str">
        <x:f>IF(A25="","",((F25-E25)*24)-(I25/60))</x:f>
      </x:c>
      <x:c r="K25" s="22" t="str">
        <x:f>IF(A25="","",MIN(J25,8))</x:f>
      </x:c>
      <x:c r="L25" s="22" t="str">
        <x:f>IF(A25="","",MAX(J25-8,0))</x:f>
      </x:c>
      <x:c r="M25" s="20" t="str">
        <x:f>IF(A25="","",K25*Settings!$B$5)</x:f>
      </x:c>
      <x:c r="N25" s="20" t="str">
        <x:f>IF(A25="","",L25*Settings!$B$6)</x:f>
      </x:c>
      <x:c r="O25" s="22"/>
      <x:c r="P25" s="22"/>
      <x:c r="Q25" s="22" t="str">
        <x:f>IF(A25="","",MAX(O25-Settings!$B$7,0))</x:f>
      </x:c>
      <x:c r="R25" s="20" t="str">
        <x:f>IF(A25="","",Q25*Settings!$B$8)</x:f>
      </x:c>
      <x:c r="S25" s="20" t="str">
        <x:f>IF(A25="","",M25+N25)</x:f>
      </x:c>
      <x:c r="T25" s="20" t="str">
        <x:f>IF(A25="","",S25+R25)</x:f>
      </x:c>
    </x:row>
    <x:row r="26">
      <x:c r="A26" s="26"/>
      <x:c r="B26" s="26" t="str">
        <x:f>IF(A26="","",A26-MOD(WEEKDAY(A26,2)-5,7))</x:f>
      </x:c>
      <x:c r="C26" s="26" t="str">
        <x:f>IF(B26="","",B26+7)</x:f>
      </x:c>
      <x:c r="D26" t="str">
        <x:f>IF(A26="","",TEXT(A26,"dddd"))</x:f>
      </x:c>
      <x:c r="E26" s="24"/>
      <x:c r="F26" s="24"/>
      <x:c r="G26" s="32" t="n">
        <x:f>IF(AND(E26&lt;Settings!$B$11,F26&gt;Settings!$B$11),Settings!$B$12,0)</x:f>
        <x:v>0</x:v>
      </x:c>
      <x:c r="H26" s="32" t="n">
        <x:f>IF(AND(E26&lt;Settings!$B$13,F26&gt;Settings!$B$13),Settings!$B$14,0)</x:f>
        <x:v>0</x:v>
      </x:c>
      <x:c r="I26" s="32" t="str">
        <x:f>IF(A26="","",G26+H26)</x:f>
      </x:c>
      <x:c r="J26" s="22" t="str">
        <x:f>IF(A26="","",((F26-E26)*24)-(I26/60))</x:f>
      </x:c>
      <x:c r="K26" s="22" t="str">
        <x:f>IF(A26="","",MIN(J26,8))</x:f>
      </x:c>
      <x:c r="L26" s="22" t="str">
        <x:f>IF(A26="","",MAX(J26-8,0))</x:f>
      </x:c>
      <x:c r="M26" s="20" t="str">
        <x:f>IF(A26="","",K26*Settings!$B$5)</x:f>
      </x:c>
      <x:c r="N26" s="20" t="str">
        <x:f>IF(A26="","",L26*Settings!$B$6)</x:f>
      </x:c>
      <x:c r="O26" s="22"/>
      <x:c r="P26" s="22"/>
      <x:c r="Q26" s="22" t="str">
        <x:f>IF(A26="","",MAX(O26-Settings!$B$7,0))</x:f>
      </x:c>
      <x:c r="R26" s="20" t="str">
        <x:f>IF(A26="","",Q26*Settings!$B$8)</x:f>
      </x:c>
      <x:c r="S26" s="20" t="str">
        <x:f>IF(A26="","",M26+N26)</x:f>
      </x:c>
      <x:c r="T26" s="20" t="str">
        <x:f>IF(A26="","",S26+R26)</x:f>
      </x:c>
    </x:row>
    <x:row r="27">
      <x:c r="A27" s="26"/>
      <x:c r="B27" s="26" t="str">
        <x:f>IF(A27="","",A27-MOD(WEEKDAY(A27,2)-5,7))</x:f>
      </x:c>
      <x:c r="C27" s="26" t="str">
        <x:f>IF(B27="","",B27+7)</x:f>
      </x:c>
      <x:c r="D27" t="str">
        <x:f>IF(A27="","",TEXT(A27,"dddd"))</x:f>
      </x:c>
      <x:c r="E27" s="24"/>
      <x:c r="F27" s="24"/>
      <x:c r="G27" s="32" t="n">
        <x:f>IF(AND(E27&lt;Settings!$B$11,F27&gt;Settings!$B$11),Settings!$B$12,0)</x:f>
        <x:v>0</x:v>
      </x:c>
      <x:c r="H27" s="32" t="n">
        <x:f>IF(AND(E27&lt;Settings!$B$13,F27&gt;Settings!$B$13),Settings!$B$14,0)</x:f>
        <x:v>0</x:v>
      </x:c>
      <x:c r="I27" s="32" t="str">
        <x:f>IF(A27="","",G27+H27)</x:f>
      </x:c>
      <x:c r="J27" s="22" t="str">
        <x:f>IF(A27="","",((F27-E27)*24)-(I27/60))</x:f>
      </x:c>
      <x:c r="K27" s="22" t="str">
        <x:f>IF(A27="","",MIN(J27,8))</x:f>
      </x:c>
      <x:c r="L27" s="22" t="str">
        <x:f>IF(A27="","",MAX(J27-8,0))</x:f>
      </x:c>
      <x:c r="M27" s="20" t="str">
        <x:f>IF(A27="","",K27*Settings!$B$5)</x:f>
      </x:c>
      <x:c r="N27" s="20" t="str">
        <x:f>IF(A27="","",L27*Settings!$B$6)</x:f>
      </x:c>
      <x:c r="O27" s="22"/>
      <x:c r="P27" s="22"/>
      <x:c r="Q27" s="22" t="str">
        <x:f>IF(A27="","",MAX(O27-Settings!$B$7,0))</x:f>
      </x:c>
      <x:c r="R27" s="20" t="str">
        <x:f>IF(A27="","",Q27*Settings!$B$8)</x:f>
      </x:c>
      <x:c r="S27" s="20" t="str">
        <x:f>IF(A27="","",M27+N27)</x:f>
      </x:c>
      <x:c r="T27" s="20" t="str">
        <x:f>IF(A27="","",S27+R27)</x:f>
      </x:c>
    </x:row>
    <x:row r="28">
      <x:c r="A28" s="26"/>
      <x:c r="B28" s="26" t="str">
        <x:f>IF(A28="","",A28-MOD(WEEKDAY(A28,2)-5,7))</x:f>
      </x:c>
      <x:c r="C28" s="26" t="str">
        <x:f>IF(B28="","",B28+7)</x:f>
      </x:c>
      <x:c r="D28" t="str">
        <x:f>IF(A28="","",TEXT(A28,"dddd"))</x:f>
      </x:c>
      <x:c r="E28" s="24"/>
      <x:c r="F28" s="24"/>
      <x:c r="G28" s="32" t="n">
        <x:f>IF(AND(E28&lt;Settings!$B$11,F28&gt;Settings!$B$11),Settings!$B$12,0)</x:f>
        <x:v>0</x:v>
      </x:c>
      <x:c r="H28" s="32" t="n">
        <x:f>IF(AND(E28&lt;Settings!$B$13,F28&gt;Settings!$B$13),Settings!$B$14,0)</x:f>
        <x:v>0</x:v>
      </x:c>
      <x:c r="I28" s="32" t="str">
        <x:f>IF(A28="","",G28+H28)</x:f>
      </x:c>
      <x:c r="J28" s="22" t="str">
        <x:f>IF(A28="","",((F28-E28)*24)-(I28/60))</x:f>
      </x:c>
      <x:c r="K28" s="22" t="str">
        <x:f>IF(A28="","",MIN(J28,8))</x:f>
      </x:c>
      <x:c r="L28" s="22" t="str">
        <x:f>IF(A28="","",MAX(J28-8,0))</x:f>
      </x:c>
      <x:c r="M28" s="20" t="str">
        <x:f>IF(A28="","",K28*Settings!$B$5)</x:f>
      </x:c>
      <x:c r="N28" s="20" t="str">
        <x:f>IF(A28="","",L28*Settings!$B$6)</x:f>
      </x:c>
      <x:c r="O28" s="22"/>
      <x:c r="P28" s="22"/>
      <x:c r="Q28" s="22" t="str">
        <x:f>IF(A28="","",MAX(O28-Settings!$B$7,0))</x:f>
      </x:c>
      <x:c r="R28" s="20" t="str">
        <x:f>IF(A28="","",Q28*Settings!$B$8)</x:f>
      </x:c>
      <x:c r="S28" s="20" t="str">
        <x:f>IF(A28="","",M28+N28)</x:f>
      </x:c>
      <x:c r="T28" s="20" t="str">
        <x:f>IF(A28="","",S28+R28)</x:f>
      </x:c>
    </x:row>
    <x:row r="29">
      <x:c r="A29" s="26"/>
      <x:c r="B29" s="26" t="str">
        <x:f>IF(A29="","",A29-MOD(WEEKDAY(A29,2)-5,7))</x:f>
      </x:c>
      <x:c r="C29" s="26" t="str">
        <x:f>IF(B29="","",B29+7)</x:f>
      </x:c>
      <x:c r="D29" t="str">
        <x:f>IF(A29="","",TEXT(A29,"dddd"))</x:f>
      </x:c>
      <x:c r="E29" s="24"/>
      <x:c r="F29" s="24"/>
      <x:c r="G29" s="32" t="n">
        <x:f>IF(AND(E29&lt;Settings!$B$11,F29&gt;Settings!$B$11),Settings!$B$12,0)</x:f>
        <x:v>0</x:v>
      </x:c>
      <x:c r="H29" s="32" t="n">
        <x:f>IF(AND(E29&lt;Settings!$B$13,F29&gt;Settings!$B$13),Settings!$B$14,0)</x:f>
        <x:v>0</x:v>
      </x:c>
      <x:c r="I29" s="32" t="str">
        <x:f>IF(A29="","",G29+H29)</x:f>
      </x:c>
      <x:c r="J29" s="22" t="str">
        <x:f>IF(A29="","",((F29-E29)*24)-(I29/60))</x:f>
      </x:c>
      <x:c r="K29" s="22" t="str">
        <x:f>IF(A29="","",MIN(J29,8))</x:f>
      </x:c>
      <x:c r="L29" s="22" t="str">
        <x:f>IF(A29="","",MAX(J29-8,0))</x:f>
      </x:c>
      <x:c r="M29" s="20" t="str">
        <x:f>IF(A29="","",K29*Settings!$B$5)</x:f>
      </x:c>
      <x:c r="N29" s="20" t="str">
        <x:f>IF(A29="","",L29*Settings!$B$6)</x:f>
      </x:c>
      <x:c r="O29" s="22"/>
      <x:c r="P29" s="22"/>
      <x:c r="Q29" s="22" t="str">
        <x:f>IF(A29="","",MAX(O29-Settings!$B$7,0))</x:f>
      </x:c>
      <x:c r="R29" s="20" t="str">
        <x:f>IF(A29="","",Q29*Settings!$B$8)</x:f>
      </x:c>
      <x:c r="S29" s="20" t="str">
        <x:f>IF(A29="","",M29+N29)</x:f>
      </x:c>
      <x:c r="T29" s="20" t="str">
        <x:f>IF(A29="","",S29+R29)</x:f>
      </x:c>
    </x:row>
    <x:row r="30">
      <x:c r="A30" s="26"/>
      <x:c r="B30" s="26" t="str">
        <x:f>IF(A30="","",A30-MOD(WEEKDAY(A30,2)-5,7))</x:f>
      </x:c>
      <x:c r="C30" s="26" t="str">
        <x:f>IF(B30="","",B30+7)</x:f>
      </x:c>
      <x:c r="D30" t="str">
        <x:f>IF(A30="","",TEXT(A30,"dddd"))</x:f>
      </x:c>
      <x:c r="E30" s="24"/>
      <x:c r="F30" s="24"/>
      <x:c r="G30" s="32" t="n">
        <x:f>IF(AND(E30&lt;Settings!$B$11,F30&gt;Settings!$B$11),Settings!$B$12,0)</x:f>
        <x:v>0</x:v>
      </x:c>
      <x:c r="H30" s="32" t="n">
        <x:f>IF(AND(E30&lt;Settings!$B$13,F30&gt;Settings!$B$13),Settings!$B$14,0)</x:f>
        <x:v>0</x:v>
      </x:c>
      <x:c r="I30" s="32" t="str">
        <x:f>IF(A30="","",G30+H30)</x:f>
      </x:c>
      <x:c r="J30" s="22" t="str">
        <x:f>IF(A30="","",((F30-E30)*24)-(I30/60))</x:f>
      </x:c>
      <x:c r="K30" s="22" t="str">
        <x:f>IF(A30="","",MIN(J30,8))</x:f>
      </x:c>
      <x:c r="L30" s="22" t="str">
        <x:f>IF(A30="","",MAX(J30-8,0))</x:f>
      </x:c>
      <x:c r="M30" s="20" t="str">
        <x:f>IF(A30="","",K30*Settings!$B$5)</x:f>
      </x:c>
      <x:c r="N30" s="20" t="str">
        <x:f>IF(A30="","",L30*Settings!$B$6)</x:f>
      </x:c>
      <x:c r="O30" s="22"/>
      <x:c r="P30" s="22"/>
      <x:c r="Q30" s="22" t="str">
        <x:f>IF(A30="","",MAX(O30-Settings!$B$7,0))</x:f>
      </x:c>
      <x:c r="R30" s="20" t="str">
        <x:f>IF(A30="","",Q30*Settings!$B$8)</x:f>
      </x:c>
      <x:c r="S30" s="20" t="str">
        <x:f>IF(A30="","",M30+N30)</x:f>
      </x:c>
      <x:c r="T30" s="20" t="str">
        <x:f>IF(A30="","",S30+R30)</x:f>
      </x:c>
    </x:row>
    <x:row r="31">
      <x:c r="A31" s="26"/>
      <x:c r="B31" s="26" t="str">
        <x:f>IF(A31="","",A31-MOD(WEEKDAY(A31,2)-5,7))</x:f>
      </x:c>
      <x:c r="C31" s="26" t="str">
        <x:f>IF(B31="","",B31+7)</x:f>
      </x:c>
      <x:c r="D31" t="str">
        <x:f>IF(A31="","",TEXT(A31,"dddd"))</x:f>
      </x:c>
      <x:c r="E31" s="24"/>
      <x:c r="F31" s="24"/>
      <x:c r="G31" s="32" t="n">
        <x:f>IF(AND(E31&lt;Settings!$B$11,F31&gt;Settings!$B$11),Settings!$B$12,0)</x:f>
        <x:v>0</x:v>
      </x:c>
      <x:c r="H31" s="32" t="n">
        <x:f>IF(AND(E31&lt;Settings!$B$13,F31&gt;Settings!$B$13),Settings!$B$14,0)</x:f>
        <x:v>0</x:v>
      </x:c>
      <x:c r="I31" s="32" t="str">
        <x:f>IF(A31="","",G31+H31)</x:f>
      </x:c>
      <x:c r="J31" s="22" t="str">
        <x:f>IF(A31="","",((F31-E31)*24)-(I31/60))</x:f>
      </x:c>
      <x:c r="K31" s="22" t="str">
        <x:f>IF(A31="","",MIN(J31,8))</x:f>
      </x:c>
      <x:c r="L31" s="22" t="str">
        <x:f>IF(A31="","",MAX(J31-8,0))</x:f>
      </x:c>
      <x:c r="M31" s="20" t="str">
        <x:f>IF(A31="","",K31*Settings!$B$5)</x:f>
      </x:c>
      <x:c r="N31" s="20" t="str">
        <x:f>IF(A31="","",L31*Settings!$B$6)</x:f>
      </x:c>
      <x:c r="O31" s="22"/>
      <x:c r="P31" s="22"/>
      <x:c r="Q31" s="22" t="str">
        <x:f>IF(A31="","",MAX(O31-Settings!$B$7,0))</x:f>
      </x:c>
      <x:c r="R31" s="20" t="str">
        <x:f>IF(A31="","",Q31*Settings!$B$8)</x:f>
      </x:c>
      <x:c r="S31" s="20" t="str">
        <x:f>IF(A31="","",M31+N31)</x:f>
      </x:c>
      <x:c r="T31" s="20" t="str">
        <x:f>IF(A31="","",S31+R31)</x:f>
      </x:c>
    </x:row>
    <x:row r="32">
      <x:c r="A32" s="26"/>
      <x:c r="B32" s="26" t="str">
        <x:f>IF(A32="","",A32-MOD(WEEKDAY(A32,2)-5,7))</x:f>
      </x:c>
      <x:c r="C32" s="26" t="str">
        <x:f>IF(B32="","",B32+7)</x:f>
      </x:c>
      <x:c r="D32" t="str">
        <x:f>IF(A32="","",TEXT(A32,"dddd"))</x:f>
      </x:c>
      <x:c r="E32" s="24"/>
      <x:c r="F32" s="24"/>
      <x:c r="G32" s="32" t="n">
        <x:f>IF(AND(E32&lt;Settings!$B$11,F32&gt;Settings!$B$11),Settings!$B$12,0)</x:f>
        <x:v>0</x:v>
      </x:c>
      <x:c r="H32" s="32" t="n">
        <x:f>IF(AND(E32&lt;Settings!$B$13,F32&gt;Settings!$B$13),Settings!$B$14,0)</x:f>
        <x:v>0</x:v>
      </x:c>
      <x:c r="I32" s="32" t="str">
        <x:f>IF(A32="","",G32+H32)</x:f>
      </x:c>
      <x:c r="J32" s="22" t="str">
        <x:f>IF(A32="","",((F32-E32)*24)-(I32/60))</x:f>
      </x:c>
      <x:c r="K32" s="22" t="str">
        <x:f>IF(A32="","",MIN(J32,8))</x:f>
      </x:c>
      <x:c r="L32" s="22" t="str">
        <x:f>IF(A32="","",MAX(J32-8,0))</x:f>
      </x:c>
      <x:c r="M32" s="20" t="str">
        <x:f>IF(A32="","",K32*Settings!$B$5)</x:f>
      </x:c>
      <x:c r="N32" s="20" t="str">
        <x:f>IF(A32="","",L32*Settings!$B$6)</x:f>
      </x:c>
      <x:c r="O32" s="22"/>
      <x:c r="P32" s="22"/>
      <x:c r="Q32" s="22" t="str">
        <x:f>IF(A32="","",MAX(O32-Settings!$B$7,0))</x:f>
      </x:c>
      <x:c r="R32" s="20" t="str">
        <x:f>IF(A32="","",Q32*Settings!$B$8)</x:f>
      </x:c>
      <x:c r="S32" s="20" t="str">
        <x:f>IF(A32="","",M32+N32)</x:f>
      </x:c>
      <x:c r="T32" s="20" t="str">
        <x:f>IF(A32="","",S32+R32)</x:f>
      </x:c>
    </x:row>
    <x:row r="33">
      <x:c r="A33" s="26"/>
      <x:c r="B33" s="26" t="str">
        <x:f>IF(A33="","",A33-MOD(WEEKDAY(A33,2)-5,7))</x:f>
      </x:c>
      <x:c r="C33" s="26" t="str">
        <x:f>IF(B33="","",B33+7)</x:f>
      </x:c>
      <x:c r="D33" t="str">
        <x:f>IF(A33="","",TEXT(A33,"dddd"))</x:f>
      </x:c>
      <x:c r="E33" s="24"/>
      <x:c r="F33" s="24"/>
      <x:c r="G33" s="32" t="n">
        <x:f>IF(AND(E33&lt;Settings!$B$11,F33&gt;Settings!$B$11),Settings!$B$12,0)</x:f>
        <x:v>0</x:v>
      </x:c>
      <x:c r="H33" s="32" t="n">
        <x:f>IF(AND(E33&lt;Settings!$B$13,F33&gt;Settings!$B$13),Settings!$B$14,0)</x:f>
        <x:v>0</x:v>
      </x:c>
      <x:c r="I33" s="32" t="str">
        <x:f>IF(A33="","",G33+H33)</x:f>
      </x:c>
      <x:c r="J33" s="22" t="str">
        <x:f>IF(A33="","",((F33-E33)*24)-(I33/60))</x:f>
      </x:c>
      <x:c r="K33" s="22" t="str">
        <x:f>IF(A33="","",MIN(J33,8))</x:f>
      </x:c>
      <x:c r="L33" s="22" t="str">
        <x:f>IF(A33="","",MAX(J33-8,0))</x:f>
      </x:c>
      <x:c r="M33" s="20" t="str">
        <x:f>IF(A33="","",K33*Settings!$B$5)</x:f>
      </x:c>
      <x:c r="N33" s="20" t="str">
        <x:f>IF(A33="","",L33*Settings!$B$6)</x:f>
      </x:c>
      <x:c r="O33" s="22"/>
      <x:c r="P33" s="22"/>
      <x:c r="Q33" s="22" t="str">
        <x:f>IF(A33="","",MAX(O33-Settings!$B$7,0))</x:f>
      </x:c>
      <x:c r="R33" s="20" t="str">
        <x:f>IF(A33="","",Q33*Settings!$B$8)</x:f>
      </x:c>
      <x:c r="S33" s="20" t="str">
        <x:f>IF(A33="","",M33+N33)</x:f>
      </x:c>
      <x:c r="T33" s="20" t="str">
        <x:f>IF(A33="","",S33+R33)</x:f>
      </x:c>
    </x:row>
    <x:row r="34">
      <x:c r="A34" s="26"/>
      <x:c r="B34" s="26" t="str">
        <x:f>IF(A34="","",A34-MOD(WEEKDAY(A34,2)-5,7))</x:f>
      </x:c>
      <x:c r="C34" s="26" t="str">
        <x:f>IF(B34="","",B34+7)</x:f>
      </x:c>
      <x:c r="D34" t="str">
        <x:f>IF(A34="","",TEXT(A34,"dddd"))</x:f>
      </x:c>
      <x:c r="E34" s="24"/>
      <x:c r="F34" s="24"/>
      <x:c r="G34" s="32" t="n">
        <x:f>IF(AND(E34&lt;Settings!$B$11,F34&gt;Settings!$B$11),Settings!$B$12,0)</x:f>
        <x:v>0</x:v>
      </x:c>
      <x:c r="H34" s="32" t="n">
        <x:f>IF(AND(E34&lt;Settings!$B$13,F34&gt;Settings!$B$13),Settings!$B$14,0)</x:f>
        <x:v>0</x:v>
      </x:c>
      <x:c r="I34" s="32" t="str">
        <x:f>IF(A34="","",G34+H34)</x:f>
      </x:c>
      <x:c r="J34" s="22" t="str">
        <x:f>IF(A34="","",((F34-E34)*24)-(I34/60))</x:f>
      </x:c>
      <x:c r="K34" s="22" t="str">
        <x:f>IF(A34="","",MIN(J34,8))</x:f>
      </x:c>
      <x:c r="L34" s="22" t="str">
        <x:f>IF(A34="","",MAX(J34-8,0))</x:f>
      </x:c>
      <x:c r="M34" s="20" t="str">
        <x:f>IF(A34="","",K34*Settings!$B$5)</x:f>
      </x:c>
      <x:c r="N34" s="20" t="str">
        <x:f>IF(A34="","",L34*Settings!$B$6)</x:f>
      </x:c>
      <x:c r="O34" s="22"/>
      <x:c r="P34" s="22"/>
      <x:c r="Q34" s="22" t="str">
        <x:f>IF(A34="","",MAX(O34-Settings!$B$7,0))</x:f>
      </x:c>
      <x:c r="R34" s="20" t="str">
        <x:f>IF(A34="","",Q34*Settings!$B$8)</x:f>
      </x:c>
      <x:c r="S34" s="20" t="str">
        <x:f>IF(A34="","",M34+N34)</x:f>
      </x:c>
      <x:c r="T34" s="20" t="str">
        <x:f>IF(A34="","",S34+R34)</x:f>
      </x:c>
    </x:row>
    <x:row r="35">
      <x:c r="A35" s="26"/>
      <x:c r="B35" s="26" t="str">
        <x:f>IF(A35="","",A35-MOD(WEEKDAY(A35,2)-5,7))</x:f>
      </x:c>
      <x:c r="C35" s="26" t="str">
        <x:f>IF(B35="","",B35+7)</x:f>
      </x:c>
      <x:c r="D35" t="str">
        <x:f>IF(A35="","",TEXT(A35,"dddd"))</x:f>
      </x:c>
      <x:c r="E35" s="24"/>
      <x:c r="F35" s="24"/>
      <x:c r="G35" s="32" t="n">
        <x:f>IF(AND(E35&lt;Settings!$B$11,F35&gt;Settings!$B$11),Settings!$B$12,0)</x:f>
        <x:v>0</x:v>
      </x:c>
      <x:c r="H35" s="32" t="n">
        <x:f>IF(AND(E35&lt;Settings!$B$13,F35&gt;Settings!$B$13),Settings!$B$14,0)</x:f>
        <x:v>0</x:v>
      </x:c>
      <x:c r="I35" s="32" t="str">
        <x:f>IF(A35="","",G35+H35)</x:f>
      </x:c>
      <x:c r="J35" s="22" t="str">
        <x:f>IF(A35="","",((F35-E35)*24)-(I35/60))</x:f>
      </x:c>
      <x:c r="K35" s="22" t="str">
        <x:f>IF(A35="","",MIN(J35,8))</x:f>
      </x:c>
      <x:c r="L35" s="22" t="str">
        <x:f>IF(A35="","",MAX(J35-8,0))</x:f>
      </x:c>
      <x:c r="M35" s="20" t="str">
        <x:f>IF(A35="","",K35*Settings!$B$5)</x:f>
      </x:c>
      <x:c r="N35" s="20" t="str">
        <x:f>IF(A35="","",L35*Settings!$B$6)</x:f>
      </x:c>
      <x:c r="O35" s="22"/>
      <x:c r="P35" s="22"/>
      <x:c r="Q35" s="22" t="str">
        <x:f>IF(A35="","",MAX(O35-Settings!$B$7,0))</x:f>
      </x:c>
      <x:c r="R35" s="20" t="str">
        <x:f>IF(A35="","",Q35*Settings!$B$8)</x:f>
      </x:c>
      <x:c r="S35" s="20" t="str">
        <x:f>IF(A35="","",M35+N35)</x:f>
      </x:c>
      <x:c r="T35" s="20" t="str">
        <x:f>IF(A35="","",S35+R35)</x:f>
      </x:c>
    </x:row>
    <x:row r="36">
      <x:c r="A36" s="26"/>
      <x:c r="B36" s="26" t="str">
        <x:f>IF(A36="","",A36-MOD(WEEKDAY(A36,2)-5,7))</x:f>
      </x:c>
      <x:c r="C36" s="26" t="str">
        <x:f>IF(B36="","",B36+7)</x:f>
      </x:c>
      <x:c r="D36" t="str">
        <x:f>IF(A36="","",TEXT(A36,"dddd"))</x:f>
      </x:c>
      <x:c r="E36" s="24"/>
      <x:c r="F36" s="24"/>
      <x:c r="G36" s="32" t="n">
        <x:f>IF(AND(E36&lt;Settings!$B$11,F36&gt;Settings!$B$11),Settings!$B$12,0)</x:f>
        <x:v>0</x:v>
      </x:c>
      <x:c r="H36" s="32" t="n">
        <x:f>IF(AND(E36&lt;Settings!$B$13,F36&gt;Settings!$B$13),Settings!$B$14,0)</x:f>
        <x:v>0</x:v>
      </x:c>
      <x:c r="I36" s="32" t="str">
        <x:f>IF(A36="","",G36+H36)</x:f>
      </x:c>
      <x:c r="J36" s="22" t="str">
        <x:f>IF(A36="","",((F36-E36)*24)-(I36/60))</x:f>
      </x:c>
      <x:c r="K36" s="22" t="str">
        <x:f>IF(A36="","",MIN(J36,8))</x:f>
      </x:c>
      <x:c r="L36" s="22" t="str">
        <x:f>IF(A36="","",MAX(J36-8,0))</x:f>
      </x:c>
      <x:c r="M36" s="20" t="str">
        <x:f>IF(A36="","",K36*Settings!$B$5)</x:f>
      </x:c>
      <x:c r="N36" s="20" t="str">
        <x:f>IF(A36="","",L36*Settings!$B$6)</x:f>
      </x:c>
      <x:c r="O36" s="22"/>
      <x:c r="P36" s="22"/>
      <x:c r="Q36" s="22" t="str">
        <x:f>IF(A36="","",MAX(O36-Settings!$B$7,0))</x:f>
      </x:c>
      <x:c r="R36" s="20" t="str">
        <x:f>IF(A36="","",Q36*Settings!$B$8)</x:f>
      </x:c>
      <x:c r="S36" s="20" t="str">
        <x:f>IF(A36="","",M36+N36)</x:f>
      </x:c>
      <x:c r="T36" s="20" t="str">
        <x:f>IF(A36="","",S36+R36)</x:f>
      </x:c>
    </x:row>
    <x:row r="37">
      <x:c r="A37" s="26"/>
      <x:c r="B37" s="26" t="str">
        <x:f>IF(A37="","",A37-MOD(WEEKDAY(A37,2)-5,7))</x:f>
      </x:c>
      <x:c r="C37" s="26" t="str">
        <x:f>IF(B37="","",B37+7)</x:f>
      </x:c>
      <x:c r="D37" t="str">
        <x:f>IF(A37="","",TEXT(A37,"dddd"))</x:f>
      </x:c>
      <x:c r="E37" s="24"/>
      <x:c r="F37" s="24"/>
      <x:c r="G37" s="32" t="n">
        <x:f>IF(AND(E37&lt;Settings!$B$11,F37&gt;Settings!$B$11),Settings!$B$12,0)</x:f>
        <x:v>0</x:v>
      </x:c>
      <x:c r="H37" s="32" t="n">
        <x:f>IF(AND(E37&lt;Settings!$B$13,F37&gt;Settings!$B$13),Settings!$B$14,0)</x:f>
        <x:v>0</x:v>
      </x:c>
      <x:c r="I37" s="32" t="str">
        <x:f>IF(A37="","",G37+H37)</x:f>
      </x:c>
      <x:c r="J37" s="22" t="str">
        <x:f>IF(A37="","",((F37-E37)*24)-(I37/60))</x:f>
      </x:c>
      <x:c r="K37" s="22" t="str">
        <x:f>IF(A37="","",MIN(J37,8))</x:f>
      </x:c>
      <x:c r="L37" s="22" t="str">
        <x:f>IF(A37="","",MAX(J37-8,0))</x:f>
      </x:c>
      <x:c r="M37" s="20" t="str">
        <x:f>IF(A37="","",K37*Settings!$B$5)</x:f>
      </x:c>
      <x:c r="N37" s="20" t="str">
        <x:f>IF(A37="","",L37*Settings!$B$6)</x:f>
      </x:c>
      <x:c r="O37" s="22"/>
      <x:c r="P37" s="22"/>
      <x:c r="Q37" s="22" t="str">
        <x:f>IF(A37="","",MAX(O37-Settings!$B$7,0))</x:f>
      </x:c>
      <x:c r="R37" s="20" t="str">
        <x:f>IF(A37="","",Q37*Settings!$B$8)</x:f>
      </x:c>
      <x:c r="S37" s="20" t="str">
        <x:f>IF(A37="","",M37+N37)</x:f>
      </x:c>
      <x:c r="T37" s="20" t="str">
        <x:f>IF(A37="","",S37+R37)</x:f>
      </x:c>
    </x:row>
    <x:row r="38">
      <x:c r="A38" s="26"/>
      <x:c r="B38" s="26" t="str">
        <x:f>IF(A38="","",A38-MOD(WEEKDAY(A38,2)-5,7))</x:f>
      </x:c>
      <x:c r="C38" s="26" t="str">
        <x:f>IF(B38="","",B38+7)</x:f>
      </x:c>
      <x:c r="D38" t="str">
        <x:f>IF(A38="","",TEXT(A38,"dddd"))</x:f>
      </x:c>
      <x:c r="E38" s="24"/>
      <x:c r="F38" s="24"/>
      <x:c r="G38" s="32" t="n">
        <x:f>IF(AND(E38&lt;Settings!$B$11,F38&gt;Settings!$B$11),Settings!$B$12,0)</x:f>
        <x:v>0</x:v>
      </x:c>
      <x:c r="H38" s="32" t="n">
        <x:f>IF(AND(E38&lt;Settings!$B$13,F38&gt;Settings!$B$13),Settings!$B$14,0)</x:f>
        <x:v>0</x:v>
      </x:c>
      <x:c r="I38" s="32" t="str">
        <x:f>IF(A38="","",G38+H38)</x:f>
      </x:c>
      <x:c r="J38" s="22" t="str">
        <x:f>IF(A38="","",((F38-E38)*24)-(I38/60))</x:f>
      </x:c>
      <x:c r="K38" s="22" t="str">
        <x:f>IF(A38="","",MIN(J38,8))</x:f>
      </x:c>
      <x:c r="L38" s="22" t="str">
        <x:f>IF(A38="","",MAX(J38-8,0))</x:f>
      </x:c>
      <x:c r="M38" s="20" t="str">
        <x:f>IF(A38="","",K38*Settings!$B$5)</x:f>
      </x:c>
      <x:c r="N38" s="20" t="str">
        <x:f>IF(A38="","",L38*Settings!$B$6)</x:f>
      </x:c>
      <x:c r="O38" s="22"/>
      <x:c r="P38" s="22"/>
      <x:c r="Q38" s="22" t="str">
        <x:f>IF(A38="","",MAX(O38-Settings!$B$7,0))</x:f>
      </x:c>
      <x:c r="R38" s="20" t="str">
        <x:f>IF(A38="","",Q38*Settings!$B$8)</x:f>
      </x:c>
      <x:c r="S38" s="20" t="str">
        <x:f>IF(A38="","",M38+N38)</x:f>
      </x:c>
      <x:c r="T38" s="20" t="str">
        <x:f>IF(A38="","",S38+R38)</x:f>
      </x:c>
    </x:row>
    <x:row r="39">
      <x:c r="A39" s="26"/>
      <x:c r="B39" s="26" t="str">
        <x:f>IF(A39="","",A39-MOD(WEEKDAY(A39,2)-5,7))</x:f>
      </x:c>
      <x:c r="C39" s="26" t="str">
        <x:f>IF(B39="","",B39+7)</x:f>
      </x:c>
      <x:c r="D39" t="str">
        <x:f>IF(A39="","",TEXT(A39,"dddd"))</x:f>
      </x:c>
      <x:c r="E39" s="24"/>
      <x:c r="F39" s="24"/>
      <x:c r="G39" s="32" t="n">
        <x:f>IF(AND(E39&lt;Settings!$B$11,F39&gt;Settings!$B$11),Settings!$B$12,0)</x:f>
        <x:v>0</x:v>
      </x:c>
      <x:c r="H39" s="32" t="n">
        <x:f>IF(AND(E39&lt;Settings!$B$13,F39&gt;Settings!$B$13),Settings!$B$14,0)</x:f>
        <x:v>0</x:v>
      </x:c>
      <x:c r="I39" s="32" t="str">
        <x:f>IF(A39="","",G39+H39)</x:f>
      </x:c>
      <x:c r="J39" s="22" t="str">
        <x:f>IF(A39="","",((F39-E39)*24)-(I39/60))</x:f>
      </x:c>
      <x:c r="K39" s="22" t="str">
        <x:f>IF(A39="","",MIN(J39,8))</x:f>
      </x:c>
      <x:c r="L39" s="22" t="str">
        <x:f>IF(A39="","",MAX(J39-8,0))</x:f>
      </x:c>
      <x:c r="M39" s="20" t="str">
        <x:f>IF(A39="","",K39*Settings!$B$5)</x:f>
      </x:c>
      <x:c r="N39" s="20" t="str">
        <x:f>IF(A39="","",L39*Settings!$B$6)</x:f>
      </x:c>
      <x:c r="O39" s="22"/>
      <x:c r="P39" s="22"/>
      <x:c r="Q39" s="22" t="str">
        <x:f>IF(A39="","",MAX(O39-Settings!$B$7,0))</x:f>
      </x:c>
      <x:c r="R39" s="20" t="str">
        <x:f>IF(A39="","",Q39*Settings!$B$8)</x:f>
      </x:c>
      <x:c r="S39" s="20" t="str">
        <x:f>IF(A39="","",M39+N39)</x:f>
      </x:c>
      <x:c r="T39" s="20" t="str">
        <x:f>IF(A39="","",S39+R39)</x:f>
      </x:c>
    </x:row>
    <x:row r="40">
      <x:c r="A40" s="26"/>
      <x:c r="B40" s="26" t="str">
        <x:f>IF(A40="","",A40-MOD(WEEKDAY(A40,2)-5,7))</x:f>
      </x:c>
      <x:c r="C40" s="26" t="str">
        <x:f>IF(B40="","",B40+7)</x:f>
      </x:c>
      <x:c r="D40" t="str">
        <x:f>IF(A40="","",TEXT(A40,"dddd"))</x:f>
      </x:c>
      <x:c r="E40" s="24"/>
      <x:c r="F40" s="24"/>
      <x:c r="G40" s="32" t="n">
        <x:f>IF(AND(E40&lt;Settings!$B$11,F40&gt;Settings!$B$11),Settings!$B$12,0)</x:f>
        <x:v>0</x:v>
      </x:c>
      <x:c r="H40" s="32" t="n">
        <x:f>IF(AND(E40&lt;Settings!$B$13,F40&gt;Settings!$B$13),Settings!$B$14,0)</x:f>
        <x:v>0</x:v>
      </x:c>
      <x:c r="I40" s="32" t="str">
        <x:f>IF(A40="","",G40+H40)</x:f>
      </x:c>
      <x:c r="J40" s="22" t="str">
        <x:f>IF(A40="","",((F40-E40)*24)-(I40/60))</x:f>
      </x:c>
      <x:c r="K40" s="22" t="str">
        <x:f>IF(A40="","",MIN(J40,8))</x:f>
      </x:c>
      <x:c r="L40" s="22" t="str">
        <x:f>IF(A40="","",MAX(J40-8,0))</x:f>
      </x:c>
      <x:c r="M40" s="20" t="str">
        <x:f>IF(A40="","",K40*Settings!$B$5)</x:f>
      </x:c>
      <x:c r="N40" s="20" t="str">
        <x:f>IF(A40="","",L40*Settings!$B$6)</x:f>
      </x:c>
      <x:c r="O40" s="22"/>
      <x:c r="P40" s="22"/>
      <x:c r="Q40" s="22" t="str">
        <x:f>IF(A40="","",MAX(O40-Settings!$B$7,0))</x:f>
      </x:c>
      <x:c r="R40" s="20" t="str">
        <x:f>IF(A40="","",Q40*Settings!$B$8)</x:f>
      </x:c>
      <x:c r="S40" s="20" t="str">
        <x:f>IF(A40="","",M40+N40)</x:f>
      </x:c>
      <x:c r="T40" s="20" t="str">
        <x:f>IF(A40="","",S40+R40)</x:f>
      </x:c>
    </x:row>
    <x:row r="41">
      <x:c r="A41" s="26"/>
      <x:c r="B41" s="26" t="str">
        <x:f>IF(A41="","",A41-MOD(WEEKDAY(A41,2)-5,7))</x:f>
      </x:c>
      <x:c r="C41" s="26" t="str">
        <x:f>IF(B41="","",B41+7)</x:f>
      </x:c>
      <x:c r="D41" t="str">
        <x:f>IF(A41="","",TEXT(A41,"dddd"))</x:f>
      </x:c>
      <x:c r="E41" s="24"/>
      <x:c r="F41" s="24"/>
      <x:c r="G41" s="32" t="n">
        <x:f>IF(AND(E41&lt;Settings!$B$11,F41&gt;Settings!$B$11),Settings!$B$12,0)</x:f>
        <x:v>0</x:v>
      </x:c>
      <x:c r="H41" s="32" t="n">
        <x:f>IF(AND(E41&lt;Settings!$B$13,F41&gt;Settings!$B$13),Settings!$B$14,0)</x:f>
        <x:v>0</x:v>
      </x:c>
      <x:c r="I41" s="32" t="str">
        <x:f>IF(A41="","",G41+H41)</x:f>
      </x:c>
      <x:c r="J41" s="22" t="str">
        <x:f>IF(A41="","",((F41-E41)*24)-(I41/60))</x:f>
      </x:c>
      <x:c r="K41" s="22" t="str">
        <x:f>IF(A41="","",MIN(J41,8))</x:f>
      </x:c>
      <x:c r="L41" s="22" t="str">
        <x:f>IF(A41="","",MAX(J41-8,0))</x:f>
      </x:c>
      <x:c r="M41" s="20" t="str">
        <x:f>IF(A41="","",K41*Settings!$B$5)</x:f>
      </x:c>
      <x:c r="N41" s="20" t="str">
        <x:f>IF(A41="","",L41*Settings!$B$6)</x:f>
      </x:c>
      <x:c r="O41" s="22"/>
      <x:c r="P41" s="22"/>
      <x:c r="Q41" s="22" t="str">
        <x:f>IF(A41="","",MAX(O41-Settings!$B$7,0))</x:f>
      </x:c>
      <x:c r="R41" s="20" t="str">
        <x:f>IF(A41="","",Q41*Settings!$B$8)</x:f>
      </x:c>
      <x:c r="S41" s="20" t="str">
        <x:f>IF(A41="","",M41+N41)</x:f>
      </x:c>
      <x:c r="T41" s="20" t="str">
        <x:f>IF(A41="","",S41+R41)</x:f>
      </x:c>
    </x:row>
    <x:row r="42">
      <x:c r="A42" s="26"/>
      <x:c r="B42" s="26" t="str">
        <x:f>IF(A42="","",A42-MOD(WEEKDAY(A42,2)-5,7))</x:f>
      </x:c>
      <x:c r="C42" s="26" t="str">
        <x:f>IF(B42="","",B42+7)</x:f>
      </x:c>
      <x:c r="D42" t="str">
        <x:f>IF(A42="","",TEXT(A42,"dddd"))</x:f>
      </x:c>
      <x:c r="E42" s="24"/>
      <x:c r="F42" s="24"/>
      <x:c r="G42" s="32" t="n">
        <x:f>IF(AND(E42&lt;Settings!$B$11,F42&gt;Settings!$B$11),Settings!$B$12,0)</x:f>
        <x:v>0</x:v>
      </x:c>
      <x:c r="H42" s="32" t="n">
        <x:f>IF(AND(E42&lt;Settings!$B$13,F42&gt;Settings!$B$13),Settings!$B$14,0)</x:f>
        <x:v>0</x:v>
      </x:c>
      <x:c r="I42" s="32" t="str">
        <x:f>IF(A42="","",G42+H42)</x:f>
      </x:c>
      <x:c r="J42" s="22" t="str">
        <x:f>IF(A42="","",((F42-E42)*24)-(I42/60))</x:f>
      </x:c>
      <x:c r="K42" s="22" t="str">
        <x:f>IF(A42="","",MIN(J42,8))</x:f>
      </x:c>
      <x:c r="L42" s="22" t="str">
        <x:f>IF(A42="","",MAX(J42-8,0))</x:f>
      </x:c>
      <x:c r="M42" s="20" t="str">
        <x:f>IF(A42="","",K42*Settings!$B$5)</x:f>
      </x:c>
      <x:c r="N42" s="20" t="str">
        <x:f>IF(A42="","",L42*Settings!$B$6)</x:f>
      </x:c>
      <x:c r="O42" s="22"/>
      <x:c r="P42" s="22"/>
      <x:c r="Q42" s="22" t="str">
        <x:f>IF(A42="","",MAX(O42-Settings!$B$7,0))</x:f>
      </x:c>
      <x:c r="R42" s="20" t="str">
        <x:f>IF(A42="","",Q42*Settings!$B$8)</x:f>
      </x:c>
      <x:c r="S42" s="20" t="str">
        <x:f>IF(A42="","",M42+N42)</x:f>
      </x:c>
      <x:c r="T42" s="20" t="str">
        <x:f>IF(A42="","",S42+R42)</x:f>
      </x:c>
    </x:row>
    <x:row r="43">
      <x:c r="A43" s="26"/>
      <x:c r="B43" s="26" t="str">
        <x:f>IF(A43="","",A43-MOD(WEEKDAY(A43,2)-5,7))</x:f>
      </x:c>
      <x:c r="C43" s="26" t="str">
        <x:f>IF(B43="","",B43+7)</x:f>
      </x:c>
      <x:c r="D43" t="str">
        <x:f>IF(A43="","",TEXT(A43,"dddd"))</x:f>
      </x:c>
      <x:c r="E43" s="24"/>
      <x:c r="F43" s="24"/>
      <x:c r="G43" s="32" t="n">
        <x:f>IF(AND(E43&lt;Settings!$B$11,F43&gt;Settings!$B$11),Settings!$B$12,0)</x:f>
        <x:v>0</x:v>
      </x:c>
      <x:c r="H43" s="32" t="n">
        <x:f>IF(AND(E43&lt;Settings!$B$13,F43&gt;Settings!$B$13),Settings!$B$14,0)</x:f>
        <x:v>0</x:v>
      </x:c>
      <x:c r="I43" s="32" t="str">
        <x:f>IF(A43="","",G43+H43)</x:f>
      </x:c>
      <x:c r="J43" s="22" t="str">
        <x:f>IF(A43="","",((F43-E43)*24)-(I43/60))</x:f>
      </x:c>
      <x:c r="K43" s="22" t="str">
        <x:f>IF(A43="","",MIN(J43,8))</x:f>
      </x:c>
      <x:c r="L43" s="22" t="str">
        <x:f>IF(A43="","",MAX(J43-8,0))</x:f>
      </x:c>
      <x:c r="M43" s="20" t="str">
        <x:f>IF(A43="","",K43*Settings!$B$5)</x:f>
      </x:c>
      <x:c r="N43" s="20" t="str">
        <x:f>IF(A43="","",L43*Settings!$B$6)</x:f>
      </x:c>
      <x:c r="O43" s="22"/>
      <x:c r="P43" s="22"/>
      <x:c r="Q43" s="22" t="str">
        <x:f>IF(A43="","",MAX(O43-Settings!$B$7,0))</x:f>
      </x:c>
      <x:c r="R43" s="20" t="str">
        <x:f>IF(A43="","",Q43*Settings!$B$8)</x:f>
      </x:c>
      <x:c r="S43" s="20" t="str">
        <x:f>IF(A43="","",M43+N43)</x:f>
      </x:c>
      <x:c r="T43" s="20" t="str">
        <x:f>IF(A43="","",S43+R43)</x:f>
      </x:c>
    </x:row>
    <x:row r="44">
      <x:c r="A44" s="26"/>
      <x:c r="B44" s="26" t="str">
        <x:f>IF(A44="","",A44-MOD(WEEKDAY(A44,2)-5,7))</x:f>
      </x:c>
      <x:c r="C44" s="26" t="str">
        <x:f>IF(B44="","",B44+7)</x:f>
      </x:c>
      <x:c r="D44" t="str">
        <x:f>IF(A44="","",TEXT(A44,"dddd"))</x:f>
      </x:c>
      <x:c r="E44" s="24"/>
      <x:c r="F44" s="24"/>
      <x:c r="G44" s="32" t="n">
        <x:f>IF(AND(E44&lt;Settings!$B$11,F44&gt;Settings!$B$11),Settings!$B$12,0)</x:f>
        <x:v>0</x:v>
      </x:c>
      <x:c r="H44" s="32" t="n">
        <x:f>IF(AND(E44&lt;Settings!$B$13,F44&gt;Settings!$B$13),Settings!$B$14,0)</x:f>
        <x:v>0</x:v>
      </x:c>
      <x:c r="I44" s="32" t="str">
        <x:f>IF(A44="","",G44+H44)</x:f>
      </x:c>
      <x:c r="J44" s="22" t="str">
        <x:f>IF(A44="","",((F44-E44)*24)-(I44/60))</x:f>
      </x:c>
      <x:c r="K44" s="22" t="str">
        <x:f>IF(A44="","",MIN(J44,8))</x:f>
      </x:c>
      <x:c r="L44" s="22" t="str">
        <x:f>IF(A44="","",MAX(J44-8,0))</x:f>
      </x:c>
      <x:c r="M44" s="20" t="str">
        <x:f>IF(A44="","",K44*Settings!$B$5)</x:f>
      </x:c>
      <x:c r="N44" s="20" t="str">
        <x:f>IF(A44="","",L44*Settings!$B$6)</x:f>
      </x:c>
      <x:c r="O44" s="22"/>
      <x:c r="P44" s="22"/>
      <x:c r="Q44" s="22" t="str">
        <x:f>IF(A44="","",MAX(O44-Settings!$B$7,0))</x:f>
      </x:c>
      <x:c r="R44" s="20" t="str">
        <x:f>IF(A44="","",Q44*Settings!$B$8)</x:f>
      </x:c>
      <x:c r="S44" s="20" t="str">
        <x:f>IF(A44="","",M44+N44)</x:f>
      </x:c>
      <x:c r="T44" s="20" t="str">
        <x:f>IF(A44="","",S44+R44)</x:f>
      </x:c>
    </x:row>
    <x:row r="45">
      <x:c r="A45" s="26"/>
      <x:c r="B45" s="26" t="str">
        <x:f>IF(A45="","",A45-MOD(WEEKDAY(A45,2)-5,7))</x:f>
      </x:c>
      <x:c r="C45" s="26" t="str">
        <x:f>IF(B45="","",B45+7)</x:f>
      </x:c>
      <x:c r="D45" t="str">
        <x:f>IF(A45="","",TEXT(A45,"dddd"))</x:f>
      </x:c>
      <x:c r="E45" s="24"/>
      <x:c r="F45" s="24"/>
      <x:c r="G45" s="32" t="n">
        <x:f>IF(AND(E45&lt;Settings!$B$11,F45&gt;Settings!$B$11),Settings!$B$12,0)</x:f>
        <x:v>0</x:v>
      </x:c>
      <x:c r="H45" s="32" t="n">
        <x:f>IF(AND(E45&lt;Settings!$B$13,F45&gt;Settings!$B$13),Settings!$B$14,0)</x:f>
        <x:v>0</x:v>
      </x:c>
      <x:c r="I45" s="32" t="str">
        <x:f>IF(A45="","",G45+H45)</x:f>
      </x:c>
      <x:c r="J45" s="22" t="str">
        <x:f>IF(A45="","",((F45-E45)*24)-(I45/60))</x:f>
      </x:c>
      <x:c r="K45" s="22" t="str">
        <x:f>IF(A45="","",MIN(J45,8))</x:f>
      </x:c>
      <x:c r="L45" s="22" t="str">
        <x:f>IF(A45="","",MAX(J45-8,0))</x:f>
      </x:c>
      <x:c r="M45" s="20" t="str">
        <x:f>IF(A45="","",K45*Settings!$B$5)</x:f>
      </x:c>
      <x:c r="N45" s="20" t="str">
        <x:f>IF(A45="","",L45*Settings!$B$6)</x:f>
      </x:c>
      <x:c r="O45" s="22"/>
      <x:c r="P45" s="22"/>
      <x:c r="Q45" s="22" t="str">
        <x:f>IF(A45="","",MAX(O45-Settings!$B$7,0))</x:f>
      </x:c>
      <x:c r="R45" s="20" t="str">
        <x:f>IF(A45="","",Q45*Settings!$B$8)</x:f>
      </x:c>
      <x:c r="S45" s="20" t="str">
        <x:f>IF(A45="","",M45+N45)</x:f>
      </x:c>
      <x:c r="T45" s="20" t="str">
        <x:f>IF(A45="","",S45+R45)</x:f>
      </x:c>
    </x:row>
    <x:row r="46">
      <x:c r="A46" s="26"/>
      <x:c r="B46" s="26" t="str">
        <x:f>IF(A46="","",A46-MOD(WEEKDAY(A46,2)-5,7))</x:f>
      </x:c>
      <x:c r="C46" s="26" t="str">
        <x:f>IF(B46="","",B46+7)</x:f>
      </x:c>
      <x:c r="D46" t="str">
        <x:f>IF(A46="","",TEXT(A46,"dddd"))</x:f>
      </x:c>
      <x:c r="E46" s="24"/>
      <x:c r="F46" s="24"/>
      <x:c r="G46" s="32" t="n">
        <x:f>IF(AND(E46&lt;Settings!$B$11,F46&gt;Settings!$B$11),Settings!$B$12,0)</x:f>
        <x:v>0</x:v>
      </x:c>
      <x:c r="H46" s="32" t="n">
        <x:f>IF(AND(E46&lt;Settings!$B$13,F46&gt;Settings!$B$13),Settings!$B$14,0)</x:f>
        <x:v>0</x:v>
      </x:c>
      <x:c r="I46" s="32" t="str">
        <x:f>IF(A46="","",G46+H46)</x:f>
      </x:c>
      <x:c r="J46" s="22" t="str">
        <x:f>IF(A46="","",((F46-E46)*24)-(I46/60))</x:f>
      </x:c>
      <x:c r="K46" s="22" t="str">
        <x:f>IF(A46="","",MIN(J46,8))</x:f>
      </x:c>
      <x:c r="L46" s="22" t="str">
        <x:f>IF(A46="","",MAX(J46-8,0))</x:f>
      </x:c>
      <x:c r="M46" s="20" t="str">
        <x:f>IF(A46="","",K46*Settings!$B$5)</x:f>
      </x:c>
      <x:c r="N46" s="20" t="str">
        <x:f>IF(A46="","",L46*Settings!$B$6)</x:f>
      </x:c>
      <x:c r="O46" s="22"/>
      <x:c r="P46" s="22"/>
      <x:c r="Q46" s="22" t="str">
        <x:f>IF(A46="","",MAX(O46-Settings!$B$7,0))</x:f>
      </x:c>
      <x:c r="R46" s="20" t="str">
        <x:f>IF(A46="","",Q46*Settings!$B$8)</x:f>
      </x:c>
      <x:c r="S46" s="20" t="str">
        <x:f>IF(A46="","",M46+N46)</x:f>
      </x:c>
      <x:c r="T46" s="20" t="str">
        <x:f>IF(A46="","",S46+R46)</x:f>
      </x:c>
    </x:row>
    <x:row r="47">
      <x:c r="A47" s="26"/>
      <x:c r="B47" s="26" t="str">
        <x:f>IF(A47="","",A47-MOD(WEEKDAY(A47,2)-5,7))</x:f>
      </x:c>
      <x:c r="C47" s="26" t="str">
        <x:f>IF(B47="","",B47+7)</x:f>
      </x:c>
      <x:c r="D47" t="str">
        <x:f>IF(A47="","",TEXT(A47,"dddd"))</x:f>
      </x:c>
      <x:c r="E47" s="24"/>
      <x:c r="F47" s="24"/>
      <x:c r="G47" s="32" t="n">
        <x:f>IF(AND(E47&lt;Settings!$B$11,F47&gt;Settings!$B$11),Settings!$B$12,0)</x:f>
        <x:v>0</x:v>
      </x:c>
      <x:c r="H47" s="32" t="n">
        <x:f>IF(AND(E47&lt;Settings!$B$13,F47&gt;Settings!$B$13),Settings!$B$14,0)</x:f>
        <x:v>0</x:v>
      </x:c>
      <x:c r="I47" s="32" t="str">
        <x:f>IF(A47="","",G47+H47)</x:f>
      </x:c>
      <x:c r="J47" s="22" t="str">
        <x:f>IF(A47="","",((F47-E47)*24)-(I47/60))</x:f>
      </x:c>
      <x:c r="K47" s="22" t="str">
        <x:f>IF(A47="","",MIN(J47,8))</x:f>
      </x:c>
      <x:c r="L47" s="22" t="str">
        <x:f>IF(A47="","",MAX(J47-8,0))</x:f>
      </x:c>
      <x:c r="M47" s="20" t="str">
        <x:f>IF(A47="","",K47*Settings!$B$5)</x:f>
      </x:c>
      <x:c r="N47" s="20" t="str">
        <x:f>IF(A47="","",L47*Settings!$B$6)</x:f>
      </x:c>
      <x:c r="O47" s="22"/>
      <x:c r="P47" s="22"/>
      <x:c r="Q47" s="22" t="str">
        <x:f>IF(A47="","",MAX(O47-Settings!$B$7,0))</x:f>
      </x:c>
      <x:c r="R47" s="20" t="str">
        <x:f>IF(A47="","",Q47*Settings!$B$8)</x:f>
      </x:c>
      <x:c r="S47" s="20" t="str">
        <x:f>IF(A47="","",M47+N47)</x:f>
      </x:c>
      <x:c r="T47" s="20" t="str">
        <x:f>IF(A47="","",S47+R47)</x:f>
      </x:c>
    </x:row>
    <x:row r="48">
      <x:c r="A48" s="26"/>
      <x:c r="B48" s="26" t="str">
        <x:f>IF(A48="","",A48-MOD(WEEKDAY(A48,2)-5,7))</x:f>
      </x:c>
      <x:c r="C48" s="26" t="str">
        <x:f>IF(B48="","",B48+7)</x:f>
      </x:c>
      <x:c r="D48" t="str">
        <x:f>IF(A48="","",TEXT(A48,"dddd"))</x:f>
      </x:c>
      <x:c r="E48" s="24"/>
      <x:c r="F48" s="24"/>
      <x:c r="G48" s="32" t="n">
        <x:f>IF(AND(E48&lt;Settings!$B$11,F48&gt;Settings!$B$11),Settings!$B$12,0)</x:f>
        <x:v>0</x:v>
      </x:c>
      <x:c r="H48" s="32" t="n">
        <x:f>IF(AND(E48&lt;Settings!$B$13,F48&gt;Settings!$B$13),Settings!$B$14,0)</x:f>
        <x:v>0</x:v>
      </x:c>
      <x:c r="I48" s="32" t="str">
        <x:f>IF(A48="","",G48+H48)</x:f>
      </x:c>
      <x:c r="J48" s="22" t="str">
        <x:f>IF(A48="","",((F48-E48)*24)-(I48/60))</x:f>
      </x:c>
      <x:c r="K48" s="22" t="str">
        <x:f>IF(A48="","",MIN(J48,8))</x:f>
      </x:c>
      <x:c r="L48" s="22" t="str">
        <x:f>IF(A48="","",MAX(J48-8,0))</x:f>
      </x:c>
      <x:c r="M48" s="20" t="str">
        <x:f>IF(A48="","",K48*Settings!$B$5)</x:f>
      </x:c>
      <x:c r="N48" s="20" t="str">
        <x:f>IF(A48="","",L48*Settings!$B$6)</x:f>
      </x:c>
      <x:c r="O48" s="22"/>
      <x:c r="P48" s="22"/>
      <x:c r="Q48" s="22" t="str">
        <x:f>IF(A48="","",MAX(O48-Settings!$B$7,0))</x:f>
      </x:c>
      <x:c r="R48" s="20" t="str">
        <x:f>IF(A48="","",Q48*Settings!$B$8)</x:f>
      </x:c>
      <x:c r="S48" s="20" t="str">
        <x:f>IF(A48="","",M48+N48)</x:f>
      </x:c>
      <x:c r="T48" s="20" t="str">
        <x:f>IF(A48="","",S48+R48)</x:f>
      </x:c>
    </x:row>
    <x:row r="49">
      <x:c r="A49" s="26"/>
      <x:c r="B49" s="26" t="str">
        <x:f>IF(A49="","",A49-MOD(WEEKDAY(A49,2)-5,7))</x:f>
      </x:c>
      <x:c r="C49" s="26" t="str">
        <x:f>IF(B49="","",B49+7)</x:f>
      </x:c>
      <x:c r="D49" t="str">
        <x:f>IF(A49="","",TEXT(A49,"dddd"))</x:f>
      </x:c>
      <x:c r="E49" s="24"/>
      <x:c r="F49" s="24"/>
      <x:c r="G49" s="32" t="n">
        <x:f>IF(AND(E49&lt;Settings!$B$11,F49&gt;Settings!$B$11),Settings!$B$12,0)</x:f>
        <x:v>0</x:v>
      </x:c>
      <x:c r="H49" s="32" t="n">
        <x:f>IF(AND(E49&lt;Settings!$B$13,F49&gt;Settings!$B$13),Settings!$B$14,0)</x:f>
        <x:v>0</x:v>
      </x:c>
      <x:c r="I49" s="32" t="str">
        <x:f>IF(A49="","",G49+H49)</x:f>
      </x:c>
      <x:c r="J49" s="22" t="str">
        <x:f>IF(A49="","",((F49-E49)*24)-(I49/60))</x:f>
      </x:c>
      <x:c r="K49" s="22" t="str">
        <x:f>IF(A49="","",MIN(J49,8))</x:f>
      </x:c>
      <x:c r="L49" s="22" t="str">
        <x:f>IF(A49="","",MAX(J49-8,0))</x:f>
      </x:c>
      <x:c r="M49" s="20" t="str">
        <x:f>IF(A49="","",K49*Settings!$B$5)</x:f>
      </x:c>
      <x:c r="N49" s="20" t="str">
        <x:f>IF(A49="","",L49*Settings!$B$6)</x:f>
      </x:c>
      <x:c r="O49" s="22"/>
      <x:c r="P49" s="22"/>
      <x:c r="Q49" s="22" t="str">
        <x:f>IF(A49="","",MAX(O49-Settings!$B$7,0))</x:f>
      </x:c>
      <x:c r="R49" s="20" t="str">
        <x:f>IF(A49="","",Q49*Settings!$B$8)</x:f>
      </x:c>
      <x:c r="S49" s="20" t="str">
        <x:f>IF(A49="","",M49+N49)</x:f>
      </x:c>
      <x:c r="T49" s="20" t="str">
        <x:f>IF(A49="","",S49+R49)</x:f>
      </x:c>
    </x:row>
    <x:row r="50">
      <x:c r="A50" s="26"/>
      <x:c r="B50" s="26" t="str">
        <x:f>IF(A50="","",A50-MOD(WEEKDAY(A50,2)-5,7))</x:f>
      </x:c>
      <x:c r="C50" s="26" t="str">
        <x:f>IF(B50="","",B50+7)</x:f>
      </x:c>
      <x:c r="D50" t="str">
        <x:f>IF(A50="","",TEXT(A50,"dddd"))</x:f>
      </x:c>
      <x:c r="E50" s="24"/>
      <x:c r="F50" s="24"/>
      <x:c r="G50" s="32" t="n">
        <x:f>IF(AND(E50&lt;Settings!$B$11,F50&gt;Settings!$B$11),Settings!$B$12,0)</x:f>
        <x:v>0</x:v>
      </x:c>
      <x:c r="H50" s="32" t="n">
        <x:f>IF(AND(E50&lt;Settings!$B$13,F50&gt;Settings!$B$13),Settings!$B$14,0)</x:f>
        <x:v>0</x:v>
      </x:c>
      <x:c r="I50" s="32" t="str">
        <x:f>IF(A50="","",G50+H50)</x:f>
      </x:c>
      <x:c r="J50" s="22" t="str">
        <x:f>IF(A50="","",((F50-E50)*24)-(I50/60))</x:f>
      </x:c>
      <x:c r="K50" s="22" t="str">
        <x:f>IF(A50="","",MIN(J50,8))</x:f>
      </x:c>
      <x:c r="L50" s="22" t="str">
        <x:f>IF(A50="","",MAX(J50-8,0))</x:f>
      </x:c>
      <x:c r="M50" s="20" t="str">
        <x:f>IF(A50="","",K50*Settings!$B$5)</x:f>
      </x:c>
      <x:c r="N50" s="20" t="str">
        <x:f>IF(A50="","",L50*Settings!$B$6)</x:f>
      </x:c>
      <x:c r="O50" s="22"/>
      <x:c r="P50" s="22"/>
      <x:c r="Q50" s="22" t="str">
        <x:f>IF(A50="","",MAX(O50-Settings!$B$7,0))</x:f>
      </x:c>
      <x:c r="R50" s="20" t="str">
        <x:f>IF(A50="","",Q50*Settings!$B$8)</x:f>
      </x:c>
      <x:c r="S50" s="20" t="str">
        <x:f>IF(A50="","",M50+N50)</x:f>
      </x:c>
      <x:c r="T50" s="20" t="str">
        <x:f>IF(A50="","",S50+R50)</x:f>
      </x:c>
    </x:row>
    <x:row r="51">
      <x:c r="A51" s="26"/>
      <x:c r="B51" s="26" t="str">
        <x:f>IF(A51="","",A51-MOD(WEEKDAY(A51,2)-5,7))</x:f>
      </x:c>
      <x:c r="C51" s="26" t="str">
        <x:f>IF(B51="","",B51+7)</x:f>
      </x:c>
      <x:c r="D51" t="str">
        <x:f>IF(A51="","",TEXT(A51,"dddd"))</x:f>
      </x:c>
      <x:c r="E51" s="24"/>
      <x:c r="F51" s="24"/>
      <x:c r="G51" s="32" t="n">
        <x:f>IF(AND(E51&lt;Settings!$B$11,F51&gt;Settings!$B$11),Settings!$B$12,0)</x:f>
        <x:v>0</x:v>
      </x:c>
      <x:c r="H51" s="32" t="n">
        <x:f>IF(AND(E51&lt;Settings!$B$13,F51&gt;Settings!$B$13),Settings!$B$14,0)</x:f>
        <x:v>0</x:v>
      </x:c>
      <x:c r="I51" s="32" t="str">
        <x:f>IF(A51="","",G51+H51)</x:f>
      </x:c>
      <x:c r="J51" s="22" t="str">
        <x:f>IF(A51="","",((F51-E51)*24)-(I51/60))</x:f>
      </x:c>
      <x:c r="K51" s="22" t="str">
        <x:f>IF(A51="","",MIN(J51,8))</x:f>
      </x:c>
      <x:c r="L51" s="22" t="str">
        <x:f>IF(A51="","",MAX(J51-8,0))</x:f>
      </x:c>
      <x:c r="M51" s="20" t="str">
        <x:f>IF(A51="","",K51*Settings!$B$5)</x:f>
      </x:c>
      <x:c r="N51" s="20" t="str">
        <x:f>IF(A51="","",L51*Settings!$B$6)</x:f>
      </x:c>
      <x:c r="O51" s="22"/>
      <x:c r="P51" s="22"/>
      <x:c r="Q51" s="22" t="str">
        <x:f>IF(A51="","",MAX(O51-Settings!$B$7,0))</x:f>
      </x:c>
      <x:c r="R51" s="20" t="str">
        <x:f>IF(A51="","",Q51*Settings!$B$8)</x:f>
      </x:c>
      <x:c r="S51" s="20" t="str">
        <x:f>IF(A51="","",M51+N51)</x:f>
      </x:c>
      <x:c r="T51" s="20" t="str">
        <x:f>IF(A51="","",S51+R51)</x:f>
      </x:c>
    </x:row>
    <x:row r="52">
      <x:c r="A52" s="26"/>
      <x:c r="B52" s="26" t="str">
        <x:f>IF(A52="","",A52-MOD(WEEKDAY(A52,2)-5,7))</x:f>
      </x:c>
      <x:c r="C52" s="26" t="str">
        <x:f>IF(B52="","",B52+7)</x:f>
      </x:c>
      <x:c r="D52" t="str">
        <x:f>IF(A52="","",TEXT(A52,"dddd"))</x:f>
      </x:c>
      <x:c r="E52" s="24"/>
      <x:c r="F52" s="24"/>
      <x:c r="G52" s="32" t="n">
        <x:f>IF(AND(E52&lt;Settings!$B$11,F52&gt;Settings!$B$11),Settings!$B$12,0)</x:f>
        <x:v>0</x:v>
      </x:c>
      <x:c r="H52" s="32" t="n">
        <x:f>IF(AND(E52&lt;Settings!$B$13,F52&gt;Settings!$B$13),Settings!$B$14,0)</x:f>
        <x:v>0</x:v>
      </x:c>
      <x:c r="I52" s="32" t="str">
        <x:f>IF(A52="","",G52+H52)</x:f>
      </x:c>
      <x:c r="J52" s="22" t="str">
        <x:f>IF(A52="","",((F52-E52)*24)-(I52/60))</x:f>
      </x:c>
      <x:c r="K52" s="22" t="str">
        <x:f>IF(A52="","",MIN(J52,8))</x:f>
      </x:c>
      <x:c r="L52" s="22" t="str">
        <x:f>IF(A52="","",MAX(J52-8,0))</x:f>
      </x:c>
      <x:c r="M52" s="20" t="str">
        <x:f>IF(A52="","",K52*Settings!$B$5)</x:f>
      </x:c>
      <x:c r="N52" s="20" t="str">
        <x:f>IF(A52="","",L52*Settings!$B$6)</x:f>
      </x:c>
      <x:c r="O52" s="22"/>
      <x:c r="P52" s="22"/>
      <x:c r="Q52" s="22" t="str">
        <x:f>IF(A52="","",MAX(O52-Settings!$B$7,0))</x:f>
      </x:c>
      <x:c r="R52" s="20" t="str">
        <x:f>IF(A52="","",Q52*Settings!$B$8)</x:f>
      </x:c>
      <x:c r="S52" s="20" t="str">
        <x:f>IF(A52="","",M52+N52)</x:f>
      </x:c>
      <x:c r="T52" s="20" t="str">
        <x:f>IF(A52="","",S52+R52)</x:f>
      </x:c>
    </x:row>
    <x:row r="53">
      <x:c r="A53" s="26"/>
      <x:c r="B53" s="26" t="str">
        <x:f>IF(A53="","",A53-MOD(WEEKDAY(A53,2)-5,7))</x:f>
      </x:c>
      <x:c r="C53" s="26" t="str">
        <x:f>IF(B53="","",B53+7)</x:f>
      </x:c>
      <x:c r="D53" t="str">
        <x:f>IF(A53="","",TEXT(A53,"dddd"))</x:f>
      </x:c>
      <x:c r="E53" s="24"/>
      <x:c r="F53" s="24"/>
      <x:c r="G53" s="32" t="n">
        <x:f>IF(AND(E53&lt;Settings!$B$11,F53&gt;Settings!$B$11),Settings!$B$12,0)</x:f>
        <x:v>0</x:v>
      </x:c>
      <x:c r="H53" s="32" t="n">
        <x:f>IF(AND(E53&lt;Settings!$B$13,F53&gt;Settings!$B$13),Settings!$B$14,0)</x:f>
        <x:v>0</x:v>
      </x:c>
      <x:c r="I53" s="32" t="str">
        <x:f>IF(A53="","",G53+H53)</x:f>
      </x:c>
      <x:c r="J53" s="22" t="str">
        <x:f>IF(A53="","",((F53-E53)*24)-(I53/60))</x:f>
      </x:c>
      <x:c r="K53" s="22" t="str">
        <x:f>IF(A53="","",MIN(J53,8))</x:f>
      </x:c>
      <x:c r="L53" s="22" t="str">
        <x:f>IF(A53="","",MAX(J53-8,0))</x:f>
      </x:c>
      <x:c r="M53" s="20" t="str">
        <x:f>IF(A53="","",K53*Settings!$B$5)</x:f>
      </x:c>
      <x:c r="N53" s="20" t="str">
        <x:f>IF(A53="","",L53*Settings!$B$6)</x:f>
      </x:c>
      <x:c r="O53" s="22"/>
      <x:c r="P53" s="22"/>
      <x:c r="Q53" s="22" t="str">
        <x:f>IF(A53="","",MAX(O53-Settings!$B$7,0))</x:f>
      </x:c>
      <x:c r="R53" s="20" t="str">
        <x:f>IF(A53="","",Q53*Settings!$B$8)</x:f>
      </x:c>
      <x:c r="S53" s="20" t="str">
        <x:f>IF(A53="","",M53+N53)</x:f>
      </x:c>
      <x:c r="T53" s="20" t="str">
        <x:f>IF(A53="","",S53+R53)</x:f>
      </x:c>
    </x:row>
    <x:row r="54">
      <x:c r="A54" s="26"/>
      <x:c r="B54" s="26" t="str">
        <x:f>IF(A54="","",A54-MOD(WEEKDAY(A54,2)-5,7))</x:f>
      </x:c>
      <x:c r="C54" s="26" t="str">
        <x:f>IF(B54="","",B54+7)</x:f>
      </x:c>
      <x:c r="D54" t="str">
        <x:f>IF(A54="","",TEXT(A54,"dddd"))</x:f>
      </x:c>
      <x:c r="E54" s="24"/>
      <x:c r="F54" s="24"/>
      <x:c r="G54" s="32" t="n">
        <x:f>IF(AND(E54&lt;Settings!$B$11,F54&gt;Settings!$B$11),Settings!$B$12,0)</x:f>
        <x:v>0</x:v>
      </x:c>
      <x:c r="H54" s="32" t="n">
        <x:f>IF(AND(E54&lt;Settings!$B$13,F54&gt;Settings!$B$13),Settings!$B$14,0)</x:f>
        <x:v>0</x:v>
      </x:c>
      <x:c r="I54" s="32" t="str">
        <x:f>IF(A54="","",G54+H54)</x:f>
      </x:c>
      <x:c r="J54" s="22" t="str">
        <x:f>IF(A54="","",((F54-E54)*24)-(I54/60))</x:f>
      </x:c>
      <x:c r="K54" s="22" t="str">
        <x:f>IF(A54="","",MIN(J54,8))</x:f>
      </x:c>
      <x:c r="L54" s="22" t="str">
        <x:f>IF(A54="","",MAX(J54-8,0))</x:f>
      </x:c>
      <x:c r="M54" s="20" t="str">
        <x:f>IF(A54="","",K54*Settings!$B$5)</x:f>
      </x:c>
      <x:c r="N54" s="20" t="str">
        <x:f>IF(A54="","",L54*Settings!$B$6)</x:f>
      </x:c>
      <x:c r="O54" s="22"/>
      <x:c r="P54" s="22"/>
      <x:c r="Q54" s="22" t="str">
        <x:f>IF(A54="","",MAX(O54-Settings!$B$7,0))</x:f>
      </x:c>
      <x:c r="R54" s="20" t="str">
        <x:f>IF(A54="","",Q54*Settings!$B$8)</x:f>
      </x:c>
      <x:c r="S54" s="20" t="str">
        <x:f>IF(A54="","",M54+N54)</x:f>
      </x:c>
      <x:c r="T54" s="20" t="str">
        <x:f>IF(A54="","",S54+R54)</x:f>
      </x:c>
    </x:row>
    <x:row r="55">
      <x:c r="A55" s="26"/>
      <x:c r="B55" s="26" t="str">
        <x:f>IF(A55="","",A55-MOD(WEEKDAY(A55,2)-5,7))</x:f>
      </x:c>
      <x:c r="C55" s="26" t="str">
        <x:f>IF(B55="","",B55+7)</x:f>
      </x:c>
      <x:c r="D55" t="str">
        <x:f>IF(A55="","",TEXT(A55,"dddd"))</x:f>
      </x:c>
      <x:c r="E55" s="24"/>
      <x:c r="F55" s="24"/>
      <x:c r="G55" s="32" t="n">
        <x:f>IF(AND(E55&lt;Settings!$B$11,F55&gt;Settings!$B$11),Settings!$B$12,0)</x:f>
        <x:v>0</x:v>
      </x:c>
      <x:c r="H55" s="32" t="n">
        <x:f>IF(AND(E55&lt;Settings!$B$13,F55&gt;Settings!$B$13),Settings!$B$14,0)</x:f>
        <x:v>0</x:v>
      </x:c>
      <x:c r="I55" s="32" t="str">
        <x:f>IF(A55="","",G55+H55)</x:f>
      </x:c>
      <x:c r="J55" s="22" t="str">
        <x:f>IF(A55="","",((F55-E55)*24)-(I55/60))</x:f>
      </x:c>
      <x:c r="K55" s="22" t="str">
        <x:f>IF(A55="","",MIN(J55,8))</x:f>
      </x:c>
      <x:c r="L55" s="22" t="str">
        <x:f>IF(A55="","",MAX(J55-8,0))</x:f>
      </x:c>
      <x:c r="M55" s="20" t="str">
        <x:f>IF(A55="","",K55*Settings!$B$5)</x:f>
      </x:c>
      <x:c r="N55" s="20" t="str">
        <x:f>IF(A55="","",L55*Settings!$B$6)</x:f>
      </x:c>
      <x:c r="O55" s="22"/>
      <x:c r="P55" s="22"/>
      <x:c r="Q55" s="22" t="str">
        <x:f>IF(A55="","",MAX(O55-Settings!$B$7,0))</x:f>
      </x:c>
      <x:c r="R55" s="20" t="str">
        <x:f>IF(A55="","",Q55*Settings!$B$8)</x:f>
      </x:c>
      <x:c r="S55" s="20" t="str">
        <x:f>IF(A55="","",M55+N55)</x:f>
      </x:c>
      <x:c r="T55" s="20" t="str">
        <x:f>IF(A55="","",S55+R55)</x:f>
      </x:c>
    </x:row>
    <x:row r="56">
      <x:c r="A56" s="26"/>
      <x:c r="B56" s="26" t="str">
        <x:f>IF(A56="","",A56-MOD(WEEKDAY(A56,2)-5,7))</x:f>
      </x:c>
      <x:c r="C56" s="26" t="str">
        <x:f>IF(B56="","",B56+7)</x:f>
      </x:c>
      <x:c r="D56" t="str">
        <x:f>IF(A56="","",TEXT(A56,"dddd"))</x:f>
      </x:c>
      <x:c r="E56" s="24"/>
      <x:c r="F56" s="24"/>
      <x:c r="G56" s="32" t="n">
        <x:f>IF(AND(E56&lt;Settings!$B$11,F56&gt;Settings!$B$11),Settings!$B$12,0)</x:f>
        <x:v>0</x:v>
      </x:c>
      <x:c r="H56" s="32" t="n">
        <x:f>IF(AND(E56&lt;Settings!$B$13,F56&gt;Settings!$B$13),Settings!$B$14,0)</x:f>
        <x:v>0</x:v>
      </x:c>
      <x:c r="I56" s="32" t="str">
        <x:f>IF(A56="","",G56+H56)</x:f>
      </x:c>
      <x:c r="J56" s="22" t="str">
        <x:f>IF(A56="","",((F56-E56)*24)-(I56/60))</x:f>
      </x:c>
      <x:c r="K56" s="22" t="str">
        <x:f>IF(A56="","",MIN(J56,8))</x:f>
      </x:c>
      <x:c r="L56" s="22" t="str">
        <x:f>IF(A56="","",MAX(J56-8,0))</x:f>
      </x:c>
      <x:c r="M56" s="20" t="str">
        <x:f>IF(A56="","",K56*Settings!$B$5)</x:f>
      </x:c>
      <x:c r="N56" s="20" t="str">
        <x:f>IF(A56="","",L56*Settings!$B$6)</x:f>
      </x:c>
      <x:c r="O56" s="22"/>
      <x:c r="P56" s="22"/>
      <x:c r="Q56" s="22" t="str">
        <x:f>IF(A56="","",MAX(O56-Settings!$B$7,0))</x:f>
      </x:c>
      <x:c r="R56" s="20" t="str">
        <x:f>IF(A56="","",Q56*Settings!$B$8)</x:f>
      </x:c>
      <x:c r="S56" s="20" t="str">
        <x:f>IF(A56="","",M56+N56)</x:f>
      </x:c>
      <x:c r="T56" s="20" t="str">
        <x:f>IF(A56="","",S56+R56)</x:f>
      </x:c>
    </x:row>
    <x:row r="57">
      <x:c r="A57" s="26"/>
      <x:c r="B57" s="26" t="str">
        <x:f>IF(A57="","",A57-MOD(WEEKDAY(A57,2)-5,7))</x:f>
      </x:c>
      <x:c r="C57" s="26" t="str">
        <x:f>IF(B57="","",B57+7)</x:f>
      </x:c>
      <x:c r="D57" t="str">
        <x:f>IF(A57="","",TEXT(A57,"dddd"))</x:f>
      </x:c>
      <x:c r="E57" s="24"/>
      <x:c r="F57" s="24"/>
      <x:c r="G57" s="32" t="n">
        <x:f>IF(AND(E57&lt;Settings!$B$11,F57&gt;Settings!$B$11),Settings!$B$12,0)</x:f>
        <x:v>0</x:v>
      </x:c>
      <x:c r="H57" s="32" t="n">
        <x:f>IF(AND(E57&lt;Settings!$B$13,F57&gt;Settings!$B$13),Settings!$B$14,0)</x:f>
        <x:v>0</x:v>
      </x:c>
      <x:c r="I57" s="32" t="str">
        <x:f>IF(A57="","",G57+H57)</x:f>
      </x:c>
      <x:c r="J57" s="22" t="str">
        <x:f>IF(A57="","",((F57-E57)*24)-(I57/60))</x:f>
      </x:c>
      <x:c r="K57" s="22" t="str">
        <x:f>IF(A57="","",MIN(J57,8))</x:f>
      </x:c>
      <x:c r="L57" s="22" t="str">
        <x:f>IF(A57="","",MAX(J57-8,0))</x:f>
      </x:c>
      <x:c r="M57" s="20" t="str">
        <x:f>IF(A57="","",K57*Settings!$B$5)</x:f>
      </x:c>
      <x:c r="N57" s="20" t="str">
        <x:f>IF(A57="","",L57*Settings!$B$6)</x:f>
      </x:c>
      <x:c r="O57" s="22"/>
      <x:c r="P57" s="22"/>
      <x:c r="Q57" s="22" t="str">
        <x:f>IF(A57="","",MAX(O57-Settings!$B$7,0))</x:f>
      </x:c>
      <x:c r="R57" s="20" t="str">
        <x:f>IF(A57="","",Q57*Settings!$B$8)</x:f>
      </x:c>
      <x:c r="S57" s="20" t="str">
        <x:f>IF(A57="","",M57+N57)</x:f>
      </x:c>
      <x:c r="T57" s="20" t="str">
        <x:f>IF(A57="","",S57+R57)</x:f>
      </x:c>
    </x:row>
    <x:row r="58">
      <x:c r="A58" s="26"/>
      <x:c r="B58" s="26" t="str">
        <x:f>IF(A58="","",A58-MOD(WEEKDAY(A58,2)-5,7))</x:f>
      </x:c>
      <x:c r="C58" s="26" t="str">
        <x:f>IF(B58="","",B58+7)</x:f>
      </x:c>
      <x:c r="D58" t="str">
        <x:f>IF(A58="","",TEXT(A58,"dddd"))</x:f>
      </x:c>
      <x:c r="E58" s="24"/>
      <x:c r="F58" s="24"/>
      <x:c r="G58" s="32" t="n">
        <x:f>IF(AND(E58&lt;Settings!$B$11,F58&gt;Settings!$B$11),Settings!$B$12,0)</x:f>
        <x:v>0</x:v>
      </x:c>
      <x:c r="H58" s="32" t="n">
        <x:f>IF(AND(E58&lt;Settings!$B$13,F58&gt;Settings!$B$13),Settings!$B$14,0)</x:f>
        <x:v>0</x:v>
      </x:c>
      <x:c r="I58" s="32" t="str">
        <x:f>IF(A58="","",G58+H58)</x:f>
      </x:c>
      <x:c r="J58" s="22" t="str">
        <x:f>IF(A58="","",((F58-E58)*24)-(I58/60))</x:f>
      </x:c>
      <x:c r="K58" s="22" t="str">
        <x:f>IF(A58="","",MIN(J58,8))</x:f>
      </x:c>
      <x:c r="L58" s="22" t="str">
        <x:f>IF(A58="","",MAX(J58-8,0))</x:f>
      </x:c>
      <x:c r="M58" s="20" t="str">
        <x:f>IF(A58="","",K58*Settings!$B$5)</x:f>
      </x:c>
      <x:c r="N58" s="20" t="str">
        <x:f>IF(A58="","",L58*Settings!$B$6)</x:f>
      </x:c>
      <x:c r="O58" s="22"/>
      <x:c r="P58" s="22"/>
      <x:c r="Q58" s="22" t="str">
        <x:f>IF(A58="","",MAX(O58-Settings!$B$7,0))</x:f>
      </x:c>
      <x:c r="R58" s="20" t="str">
        <x:f>IF(A58="","",Q58*Settings!$B$8)</x:f>
      </x:c>
      <x:c r="S58" s="20" t="str">
        <x:f>IF(A58="","",M58+N58)</x:f>
      </x:c>
      <x:c r="T58" s="20" t="str">
        <x:f>IF(A58="","",S58+R58)</x:f>
      </x:c>
    </x:row>
    <x:row r="59">
      <x:c r="A59" s="26"/>
      <x:c r="B59" s="26" t="str">
        <x:f>IF(A59="","",A59-MOD(WEEKDAY(A59,2)-5,7))</x:f>
      </x:c>
      <x:c r="C59" s="26" t="str">
        <x:f>IF(B59="","",B59+7)</x:f>
      </x:c>
      <x:c r="D59" t="str">
        <x:f>IF(A59="","",TEXT(A59,"dddd"))</x:f>
      </x:c>
      <x:c r="E59" s="24"/>
      <x:c r="F59" s="24"/>
      <x:c r="G59" s="32" t="n">
        <x:f>IF(AND(E59&lt;Settings!$B$11,F59&gt;Settings!$B$11),Settings!$B$12,0)</x:f>
        <x:v>0</x:v>
      </x:c>
      <x:c r="H59" s="32" t="n">
        <x:f>IF(AND(E59&lt;Settings!$B$13,F59&gt;Settings!$B$13),Settings!$B$14,0)</x:f>
        <x:v>0</x:v>
      </x:c>
      <x:c r="I59" s="32" t="str">
        <x:f>IF(A59="","",G59+H59)</x:f>
      </x:c>
      <x:c r="J59" s="22" t="str">
        <x:f>IF(A59="","",((F59-E59)*24)-(I59/60))</x:f>
      </x:c>
      <x:c r="K59" s="22" t="str">
        <x:f>IF(A59="","",MIN(J59,8))</x:f>
      </x:c>
      <x:c r="L59" s="22" t="str">
        <x:f>IF(A59="","",MAX(J59-8,0))</x:f>
      </x:c>
      <x:c r="M59" s="20" t="str">
        <x:f>IF(A59="","",K59*Settings!$B$5)</x:f>
      </x:c>
      <x:c r="N59" s="20" t="str">
        <x:f>IF(A59="","",L59*Settings!$B$6)</x:f>
      </x:c>
      <x:c r="O59" s="22"/>
      <x:c r="P59" s="22"/>
      <x:c r="Q59" s="22" t="str">
        <x:f>IF(A59="","",MAX(O59-Settings!$B$7,0))</x:f>
      </x:c>
      <x:c r="R59" s="20" t="str">
        <x:f>IF(A59="","",Q59*Settings!$B$8)</x:f>
      </x:c>
      <x:c r="S59" s="20" t="str">
        <x:f>IF(A59="","",M59+N59)</x:f>
      </x:c>
      <x:c r="T59" s="20" t="str">
        <x:f>IF(A59="","",S59+R59)</x:f>
      </x:c>
    </x:row>
    <x:row r="60">
      <x:c r="A60" s="26"/>
      <x:c r="B60" s="26" t="str">
        <x:f>IF(A60="","",A60-MOD(WEEKDAY(A60,2)-5,7))</x:f>
      </x:c>
      <x:c r="C60" s="26" t="str">
        <x:f>IF(B60="","",B60+7)</x:f>
      </x:c>
      <x:c r="D60" t="str">
        <x:f>IF(A60="","",TEXT(A60,"dddd"))</x:f>
      </x:c>
      <x:c r="E60" s="24"/>
      <x:c r="F60" s="24"/>
      <x:c r="G60" s="32" t="n">
        <x:f>IF(AND(E60&lt;Settings!$B$11,F60&gt;Settings!$B$11),Settings!$B$12,0)</x:f>
        <x:v>0</x:v>
      </x:c>
      <x:c r="H60" s="32" t="n">
        <x:f>IF(AND(E60&lt;Settings!$B$13,F60&gt;Settings!$B$13),Settings!$B$14,0)</x:f>
        <x:v>0</x:v>
      </x:c>
      <x:c r="I60" s="32" t="str">
        <x:f>IF(A60="","",G60+H60)</x:f>
      </x:c>
      <x:c r="J60" s="22" t="str">
        <x:f>IF(A60="","",((F60-E60)*24)-(I60/60))</x:f>
      </x:c>
      <x:c r="K60" s="22" t="str">
        <x:f>IF(A60="","",MIN(J60,8))</x:f>
      </x:c>
      <x:c r="L60" s="22" t="str">
        <x:f>IF(A60="","",MAX(J60-8,0))</x:f>
      </x:c>
      <x:c r="M60" s="20" t="str">
        <x:f>IF(A60="","",K60*Settings!$B$5)</x:f>
      </x:c>
      <x:c r="N60" s="20" t="str">
        <x:f>IF(A60="","",L60*Settings!$B$6)</x:f>
      </x:c>
      <x:c r="O60" s="22"/>
      <x:c r="P60" s="22"/>
      <x:c r="Q60" s="22" t="str">
        <x:f>IF(A60="","",MAX(O60-Settings!$B$7,0))</x:f>
      </x:c>
      <x:c r="R60" s="20" t="str">
        <x:f>IF(A60="","",Q60*Settings!$B$8)</x:f>
      </x:c>
      <x:c r="S60" s="20" t="str">
        <x:f>IF(A60="","",M60+N60)</x:f>
      </x:c>
      <x:c r="T60" s="20" t="str">
        <x:f>IF(A60="","",S60+R60)</x:f>
      </x:c>
    </x:row>
    <x:row r="61">
      <x:c r="A61" s="26"/>
      <x:c r="B61" s="26" t="str">
        <x:f>IF(A61="","",A61-MOD(WEEKDAY(A61,2)-5,7))</x:f>
      </x:c>
      <x:c r="C61" s="26" t="str">
        <x:f>IF(B61="","",B61+7)</x:f>
      </x:c>
      <x:c r="D61" t="str">
        <x:f>IF(A61="","",TEXT(A61,"dddd"))</x:f>
      </x:c>
      <x:c r="E61" s="24"/>
      <x:c r="F61" s="24"/>
      <x:c r="G61" s="32" t="n">
        <x:f>IF(AND(E61&lt;Settings!$B$11,F61&gt;Settings!$B$11),Settings!$B$12,0)</x:f>
        <x:v>0</x:v>
      </x:c>
      <x:c r="H61" s="32" t="n">
        <x:f>IF(AND(E61&lt;Settings!$B$13,F61&gt;Settings!$B$13),Settings!$B$14,0)</x:f>
        <x:v>0</x:v>
      </x:c>
      <x:c r="I61" s="32" t="str">
        <x:f>IF(A61="","",G61+H61)</x:f>
      </x:c>
      <x:c r="J61" s="22" t="str">
        <x:f>IF(A61="","",((F61-E61)*24)-(I61/60))</x:f>
      </x:c>
      <x:c r="K61" s="22" t="str">
        <x:f>IF(A61="","",MIN(J61,8))</x:f>
      </x:c>
      <x:c r="L61" s="22" t="str">
        <x:f>IF(A61="","",MAX(J61-8,0))</x:f>
      </x:c>
      <x:c r="M61" s="20" t="str">
        <x:f>IF(A61="","",K61*Settings!$B$5)</x:f>
      </x:c>
      <x:c r="N61" s="20" t="str">
        <x:f>IF(A61="","",L61*Settings!$B$6)</x:f>
      </x:c>
      <x:c r="O61" s="22"/>
      <x:c r="P61" s="22"/>
      <x:c r="Q61" s="22" t="str">
        <x:f>IF(A61="","",MAX(O61-Settings!$B$7,0))</x:f>
      </x:c>
      <x:c r="R61" s="20" t="str">
        <x:f>IF(A61="","",Q61*Settings!$B$8)</x:f>
      </x:c>
      <x:c r="S61" s="20" t="str">
        <x:f>IF(A61="","",M61+N61)</x:f>
      </x:c>
      <x:c r="T61" s="20" t="str">
        <x:f>IF(A61="","",S61+R61)</x:f>
      </x:c>
    </x:row>
    <x:row r="62">
      <x:c r="A62" s="26"/>
      <x:c r="B62" s="26" t="str">
        <x:f>IF(A62="","",A62-MOD(WEEKDAY(A62,2)-5,7))</x:f>
      </x:c>
      <x:c r="C62" s="26" t="str">
        <x:f>IF(B62="","",B62+7)</x:f>
      </x:c>
      <x:c r="D62" t="str">
        <x:f>IF(A62="","",TEXT(A62,"dddd"))</x:f>
      </x:c>
      <x:c r="E62" s="24"/>
      <x:c r="F62" s="24"/>
      <x:c r="G62" s="32" t="n">
        <x:f>IF(AND(E62&lt;Settings!$B$11,F62&gt;Settings!$B$11),Settings!$B$12,0)</x:f>
        <x:v>0</x:v>
      </x:c>
      <x:c r="H62" s="32" t="n">
        <x:f>IF(AND(E62&lt;Settings!$B$13,F62&gt;Settings!$B$13),Settings!$B$14,0)</x:f>
        <x:v>0</x:v>
      </x:c>
      <x:c r="I62" s="32" t="str">
        <x:f>IF(A62="","",G62+H62)</x:f>
      </x:c>
      <x:c r="J62" s="22" t="str">
        <x:f>IF(A62="","",((F62-E62)*24)-(I62/60))</x:f>
      </x:c>
      <x:c r="K62" s="22" t="str">
        <x:f>IF(A62="","",MIN(J62,8))</x:f>
      </x:c>
      <x:c r="L62" s="22" t="str">
        <x:f>IF(A62="","",MAX(J62-8,0))</x:f>
      </x:c>
      <x:c r="M62" s="20" t="str">
        <x:f>IF(A62="","",K62*Settings!$B$5)</x:f>
      </x:c>
      <x:c r="N62" s="20" t="str">
        <x:f>IF(A62="","",L62*Settings!$B$6)</x:f>
      </x:c>
      <x:c r="O62" s="22"/>
      <x:c r="P62" s="22"/>
      <x:c r="Q62" s="22" t="str">
        <x:f>IF(A62="","",MAX(O62-Settings!$B$7,0))</x:f>
      </x:c>
      <x:c r="R62" s="20" t="str">
        <x:f>IF(A62="","",Q62*Settings!$B$8)</x:f>
      </x:c>
      <x:c r="S62" s="20" t="str">
        <x:f>IF(A62="","",M62+N62)</x:f>
      </x:c>
      <x:c r="T62" s="20" t="str">
        <x:f>IF(A62="","",S62+R62)</x:f>
      </x:c>
    </x:row>
    <x:row r="63">
      <x:c r="A63" s="26"/>
      <x:c r="B63" s="26" t="str">
        <x:f>IF(A63="","",A63-MOD(WEEKDAY(A63,2)-5,7))</x:f>
      </x:c>
      <x:c r="C63" s="26" t="str">
        <x:f>IF(B63="","",B63+7)</x:f>
      </x:c>
      <x:c r="D63" t="str">
        <x:f>IF(A63="","",TEXT(A63,"dddd"))</x:f>
      </x:c>
      <x:c r="E63" s="24"/>
      <x:c r="F63" s="24"/>
      <x:c r="G63" s="32" t="n">
        <x:f>IF(AND(E63&lt;Settings!$B$11,F63&gt;Settings!$B$11),Settings!$B$12,0)</x:f>
        <x:v>0</x:v>
      </x:c>
      <x:c r="H63" s="32" t="n">
        <x:f>IF(AND(E63&lt;Settings!$B$13,F63&gt;Settings!$B$13),Settings!$B$14,0)</x:f>
        <x:v>0</x:v>
      </x:c>
      <x:c r="I63" s="32" t="str">
        <x:f>IF(A63="","",G63+H63)</x:f>
      </x:c>
      <x:c r="J63" s="22" t="str">
        <x:f>IF(A63="","",((F63-E63)*24)-(I63/60))</x:f>
      </x:c>
      <x:c r="K63" s="22" t="str">
        <x:f>IF(A63="","",MIN(J63,8))</x:f>
      </x:c>
      <x:c r="L63" s="22" t="str">
        <x:f>IF(A63="","",MAX(J63-8,0))</x:f>
      </x:c>
      <x:c r="M63" s="20" t="str">
        <x:f>IF(A63="","",K63*Settings!$B$5)</x:f>
      </x:c>
      <x:c r="N63" s="20" t="str">
        <x:f>IF(A63="","",L63*Settings!$B$6)</x:f>
      </x:c>
      <x:c r="O63" s="22"/>
      <x:c r="P63" s="22"/>
      <x:c r="Q63" s="22" t="str">
        <x:f>IF(A63="","",MAX(O63-Settings!$B$7,0))</x:f>
      </x:c>
      <x:c r="R63" s="20" t="str">
        <x:f>IF(A63="","",Q63*Settings!$B$8)</x:f>
      </x:c>
      <x:c r="S63" s="20" t="str">
        <x:f>IF(A63="","",M63+N63)</x:f>
      </x:c>
      <x:c r="T63" s="20" t="str">
        <x:f>IF(A63="","",S63+R63)</x:f>
      </x:c>
    </x:row>
    <x:row r="64">
      <x:c r="A64" s="26"/>
      <x:c r="B64" s="26" t="str">
        <x:f>IF(A64="","",A64-MOD(WEEKDAY(A64,2)-5,7))</x:f>
      </x:c>
      <x:c r="C64" s="26" t="str">
        <x:f>IF(B64="","",B64+7)</x:f>
      </x:c>
      <x:c r="D64" t="str">
        <x:f>IF(A64="","",TEXT(A64,"dddd"))</x:f>
      </x:c>
      <x:c r="E64" s="24"/>
      <x:c r="F64" s="24"/>
      <x:c r="G64" s="32" t="n">
        <x:f>IF(AND(E64&lt;Settings!$B$11,F64&gt;Settings!$B$11),Settings!$B$12,0)</x:f>
        <x:v>0</x:v>
      </x:c>
      <x:c r="H64" s="32" t="n">
        <x:f>IF(AND(E64&lt;Settings!$B$13,F64&gt;Settings!$B$13),Settings!$B$14,0)</x:f>
        <x:v>0</x:v>
      </x:c>
      <x:c r="I64" s="32" t="str">
        <x:f>IF(A64="","",G64+H64)</x:f>
      </x:c>
      <x:c r="J64" s="22" t="str">
        <x:f>IF(A64="","",((F64-E64)*24)-(I64/60))</x:f>
      </x:c>
      <x:c r="K64" s="22" t="str">
        <x:f>IF(A64="","",MIN(J64,8))</x:f>
      </x:c>
      <x:c r="L64" s="22" t="str">
        <x:f>IF(A64="","",MAX(J64-8,0))</x:f>
      </x:c>
      <x:c r="M64" s="20" t="str">
        <x:f>IF(A64="","",K64*Settings!$B$5)</x:f>
      </x:c>
      <x:c r="N64" s="20" t="str">
        <x:f>IF(A64="","",L64*Settings!$B$6)</x:f>
      </x:c>
      <x:c r="O64" s="22"/>
      <x:c r="P64" s="22"/>
      <x:c r="Q64" s="22" t="str">
        <x:f>IF(A64="","",MAX(O64-Settings!$B$7,0))</x:f>
      </x:c>
      <x:c r="R64" s="20" t="str">
        <x:f>IF(A64="","",Q64*Settings!$B$8)</x:f>
      </x:c>
      <x:c r="S64" s="20" t="str">
        <x:f>IF(A64="","",M64+N64)</x:f>
      </x:c>
      <x:c r="T64" s="20" t="str">
        <x:f>IF(A64="","",S64+R64)</x:f>
      </x:c>
    </x:row>
    <x:row r="65">
      <x:c r="A65" s="26"/>
      <x:c r="B65" s="26" t="str">
        <x:f>IF(A65="","",A65-MOD(WEEKDAY(A65,2)-5,7))</x:f>
      </x:c>
      <x:c r="C65" s="26" t="str">
        <x:f>IF(B65="","",B65+7)</x:f>
      </x:c>
      <x:c r="D65" t="str">
        <x:f>IF(A65="","",TEXT(A65,"dddd"))</x:f>
      </x:c>
      <x:c r="E65" s="24"/>
      <x:c r="F65" s="24"/>
      <x:c r="G65" s="32" t="n">
        <x:f>IF(AND(E65&lt;Settings!$B$11,F65&gt;Settings!$B$11),Settings!$B$12,0)</x:f>
        <x:v>0</x:v>
      </x:c>
      <x:c r="H65" s="32" t="n">
        <x:f>IF(AND(E65&lt;Settings!$B$13,F65&gt;Settings!$B$13),Settings!$B$14,0)</x:f>
        <x:v>0</x:v>
      </x:c>
      <x:c r="I65" s="32" t="str">
        <x:f>IF(A65="","",G65+H65)</x:f>
      </x:c>
      <x:c r="J65" s="22" t="str">
        <x:f>IF(A65="","",((F65-E65)*24)-(I65/60))</x:f>
      </x:c>
      <x:c r="K65" s="22" t="str">
        <x:f>IF(A65="","",MIN(J65,8))</x:f>
      </x:c>
      <x:c r="L65" s="22" t="str">
        <x:f>IF(A65="","",MAX(J65-8,0))</x:f>
      </x:c>
      <x:c r="M65" s="20" t="str">
        <x:f>IF(A65="","",K65*Settings!$B$5)</x:f>
      </x:c>
      <x:c r="N65" s="20" t="str">
        <x:f>IF(A65="","",L65*Settings!$B$6)</x:f>
      </x:c>
      <x:c r="O65" s="22"/>
      <x:c r="P65" s="22"/>
      <x:c r="Q65" s="22" t="str">
        <x:f>IF(A65="","",MAX(O65-Settings!$B$7,0))</x:f>
      </x:c>
      <x:c r="R65" s="20" t="str">
        <x:f>IF(A65="","",Q65*Settings!$B$8)</x:f>
      </x:c>
      <x:c r="S65" s="20" t="str">
        <x:f>IF(A65="","",M65+N65)</x:f>
      </x:c>
      <x:c r="T65" s="20" t="str">
        <x:f>IF(A65="","",S65+R65)</x:f>
      </x:c>
    </x:row>
    <x:row r="66">
      <x:c r="A66" s="26"/>
      <x:c r="B66" s="26" t="str">
        <x:f>IF(A66="","",A66-MOD(WEEKDAY(A66,2)-5,7))</x:f>
      </x:c>
      <x:c r="C66" s="26" t="str">
        <x:f>IF(B66="","",B66+7)</x:f>
      </x:c>
      <x:c r="D66" t="str">
        <x:f>IF(A66="","",TEXT(A66,"dddd"))</x:f>
      </x:c>
      <x:c r="E66" s="24"/>
      <x:c r="F66" s="24"/>
      <x:c r="G66" s="32" t="n">
        <x:f>IF(AND(E66&lt;Settings!$B$11,F66&gt;Settings!$B$11),Settings!$B$12,0)</x:f>
        <x:v>0</x:v>
      </x:c>
      <x:c r="H66" s="32" t="n">
        <x:f>IF(AND(E66&lt;Settings!$B$13,F66&gt;Settings!$B$13),Settings!$B$14,0)</x:f>
        <x:v>0</x:v>
      </x:c>
      <x:c r="I66" s="32" t="str">
        <x:f>IF(A66="","",G66+H66)</x:f>
      </x:c>
      <x:c r="J66" s="22" t="str">
        <x:f>IF(A66="","",((F66-E66)*24)-(I66/60))</x:f>
      </x:c>
      <x:c r="K66" s="22" t="str">
        <x:f>IF(A66="","",MIN(J66,8))</x:f>
      </x:c>
      <x:c r="L66" s="22" t="str">
        <x:f>IF(A66="","",MAX(J66-8,0))</x:f>
      </x:c>
      <x:c r="M66" s="20" t="str">
        <x:f>IF(A66="","",K66*Settings!$B$5)</x:f>
      </x:c>
      <x:c r="N66" s="20" t="str">
        <x:f>IF(A66="","",L66*Settings!$B$6)</x:f>
      </x:c>
      <x:c r="O66" s="22"/>
      <x:c r="P66" s="22"/>
      <x:c r="Q66" s="22" t="str">
        <x:f>IF(A66="","",MAX(O66-Settings!$B$7,0))</x:f>
      </x:c>
      <x:c r="R66" s="20" t="str">
        <x:f>IF(A66="","",Q66*Settings!$B$8)</x:f>
      </x:c>
      <x:c r="S66" s="20" t="str">
        <x:f>IF(A66="","",M66+N66)</x:f>
      </x:c>
      <x:c r="T66" s="20" t="str">
        <x:f>IF(A66="","",S66+R66)</x:f>
      </x:c>
    </x:row>
    <x:row r="67">
      <x:c r="A67" s="26"/>
      <x:c r="B67" s="26" t="str">
        <x:f>IF(A67="","",A67-MOD(WEEKDAY(A67,2)-5,7))</x:f>
      </x:c>
      <x:c r="C67" s="26" t="str">
        <x:f>IF(B67="","",B67+7)</x:f>
      </x:c>
      <x:c r="D67" t="str">
        <x:f>IF(A67="","",TEXT(A67,"dddd"))</x:f>
      </x:c>
      <x:c r="E67" s="24"/>
      <x:c r="F67" s="24"/>
      <x:c r="G67" s="32" t="n">
        <x:f>IF(AND(E67&lt;Settings!$B$11,F67&gt;Settings!$B$11),Settings!$B$12,0)</x:f>
        <x:v>0</x:v>
      </x:c>
      <x:c r="H67" s="32" t="n">
        <x:f>IF(AND(E67&lt;Settings!$B$13,F67&gt;Settings!$B$13),Settings!$B$14,0)</x:f>
        <x:v>0</x:v>
      </x:c>
      <x:c r="I67" s="32" t="str">
        <x:f>IF(A67="","",G67+H67)</x:f>
      </x:c>
      <x:c r="J67" s="22" t="str">
        <x:f>IF(A67="","",((F67-E67)*24)-(I67/60))</x:f>
      </x:c>
      <x:c r="K67" s="22" t="str">
        <x:f>IF(A67="","",MIN(J67,8))</x:f>
      </x:c>
      <x:c r="L67" s="22" t="str">
        <x:f>IF(A67="","",MAX(J67-8,0))</x:f>
      </x:c>
      <x:c r="M67" s="20" t="str">
        <x:f>IF(A67="","",K67*Settings!$B$5)</x:f>
      </x:c>
      <x:c r="N67" s="20" t="str">
        <x:f>IF(A67="","",L67*Settings!$B$6)</x:f>
      </x:c>
      <x:c r="O67" s="22"/>
      <x:c r="P67" s="22"/>
      <x:c r="Q67" s="22" t="str">
        <x:f>IF(A67="","",MAX(O67-Settings!$B$7,0))</x:f>
      </x:c>
      <x:c r="R67" s="20" t="str">
        <x:f>IF(A67="","",Q67*Settings!$B$8)</x:f>
      </x:c>
      <x:c r="S67" s="20" t="str">
        <x:f>IF(A67="","",M67+N67)</x:f>
      </x:c>
      <x:c r="T67" s="20" t="str">
        <x:f>IF(A67="","",S67+R67)</x:f>
      </x:c>
    </x:row>
    <x:row r="68">
      <x:c r="A68" s="26"/>
      <x:c r="B68" s="26" t="str">
        <x:f>IF(A68="","",A68-MOD(WEEKDAY(A68,2)-5,7))</x:f>
      </x:c>
      <x:c r="C68" s="26" t="str">
        <x:f>IF(B68="","",B68+7)</x:f>
      </x:c>
      <x:c r="D68" t="str">
        <x:f>IF(A68="","",TEXT(A68,"dddd"))</x:f>
      </x:c>
      <x:c r="E68" s="24"/>
      <x:c r="F68" s="24"/>
      <x:c r="G68" s="32" t="n">
        <x:f>IF(AND(E68&lt;Settings!$B$11,F68&gt;Settings!$B$11),Settings!$B$12,0)</x:f>
        <x:v>0</x:v>
      </x:c>
      <x:c r="H68" s="32" t="n">
        <x:f>IF(AND(E68&lt;Settings!$B$13,F68&gt;Settings!$B$13),Settings!$B$14,0)</x:f>
        <x:v>0</x:v>
      </x:c>
      <x:c r="I68" s="32" t="str">
        <x:f>IF(A68="","",G68+H68)</x:f>
      </x:c>
      <x:c r="J68" s="22" t="str">
        <x:f>IF(A68="","",((F68-E68)*24)-(I68/60))</x:f>
      </x:c>
      <x:c r="K68" s="22" t="str">
        <x:f>IF(A68="","",MIN(J68,8))</x:f>
      </x:c>
      <x:c r="L68" s="22" t="str">
        <x:f>IF(A68="","",MAX(J68-8,0))</x:f>
      </x:c>
      <x:c r="M68" s="20" t="str">
        <x:f>IF(A68="","",K68*Settings!$B$5)</x:f>
      </x:c>
      <x:c r="N68" s="20" t="str">
        <x:f>IF(A68="","",L68*Settings!$B$6)</x:f>
      </x:c>
      <x:c r="O68" s="22"/>
      <x:c r="P68" s="22"/>
      <x:c r="Q68" s="22" t="str">
        <x:f>IF(A68="","",MAX(O68-Settings!$B$7,0))</x:f>
      </x:c>
      <x:c r="R68" s="20" t="str">
        <x:f>IF(A68="","",Q68*Settings!$B$8)</x:f>
      </x:c>
      <x:c r="S68" s="20" t="str">
        <x:f>IF(A68="","",M68+N68)</x:f>
      </x:c>
      <x:c r="T68" s="20" t="str">
        <x:f>IF(A68="","",S68+R68)</x:f>
      </x:c>
    </x:row>
    <x:row r="69">
      <x:c r="A69" s="26"/>
      <x:c r="B69" s="26" t="str">
        <x:f>IF(A69="","",A69-MOD(WEEKDAY(A69,2)-5,7))</x:f>
      </x:c>
      <x:c r="C69" s="26" t="str">
        <x:f>IF(B69="","",B69+7)</x:f>
      </x:c>
      <x:c r="D69" t="str">
        <x:f>IF(A69="","",TEXT(A69,"dddd"))</x:f>
      </x:c>
      <x:c r="E69" s="24"/>
      <x:c r="F69" s="24"/>
      <x:c r="G69" s="32" t="n">
        <x:f>IF(AND(E69&lt;Settings!$B$11,F69&gt;Settings!$B$11),Settings!$B$12,0)</x:f>
        <x:v>0</x:v>
      </x:c>
      <x:c r="H69" s="32" t="n">
        <x:f>IF(AND(E69&lt;Settings!$B$13,F69&gt;Settings!$B$13),Settings!$B$14,0)</x:f>
        <x:v>0</x:v>
      </x:c>
      <x:c r="I69" s="32" t="str">
        <x:f>IF(A69="","",G69+H69)</x:f>
      </x:c>
      <x:c r="J69" s="22" t="str">
        <x:f>IF(A69="","",((F69-E69)*24)-(I69/60))</x:f>
      </x:c>
      <x:c r="K69" s="22" t="str">
        <x:f>IF(A69="","",MIN(J69,8))</x:f>
      </x:c>
      <x:c r="L69" s="22" t="str">
        <x:f>IF(A69="","",MAX(J69-8,0))</x:f>
      </x:c>
      <x:c r="M69" s="20" t="str">
        <x:f>IF(A69="","",K69*Settings!$B$5)</x:f>
      </x:c>
      <x:c r="N69" s="20" t="str">
        <x:f>IF(A69="","",L69*Settings!$B$6)</x:f>
      </x:c>
      <x:c r="O69" s="22"/>
      <x:c r="P69" s="22"/>
      <x:c r="Q69" s="22" t="str">
        <x:f>IF(A69="","",MAX(O69-Settings!$B$7,0))</x:f>
      </x:c>
      <x:c r="R69" s="20" t="str">
        <x:f>IF(A69="","",Q69*Settings!$B$8)</x:f>
      </x:c>
      <x:c r="S69" s="20" t="str">
        <x:f>IF(A69="","",M69+N69)</x:f>
      </x:c>
      <x:c r="T69" s="20" t="str">
        <x:f>IF(A69="","",S69+R69)</x:f>
      </x:c>
    </x:row>
    <x:row r="70">
      <x:c r="A70" s="26"/>
      <x:c r="B70" s="26" t="str">
        <x:f>IF(A70="","",A70-MOD(WEEKDAY(A70,2)-5,7))</x:f>
      </x:c>
      <x:c r="C70" s="26" t="str">
        <x:f>IF(B70="","",B70+7)</x:f>
      </x:c>
      <x:c r="D70" t="str">
        <x:f>IF(A70="","",TEXT(A70,"dddd"))</x:f>
      </x:c>
      <x:c r="E70" s="24"/>
      <x:c r="F70" s="24"/>
      <x:c r="G70" s="32" t="n">
        <x:f>IF(AND(E70&lt;Settings!$B$11,F70&gt;Settings!$B$11),Settings!$B$12,0)</x:f>
        <x:v>0</x:v>
      </x:c>
      <x:c r="H70" s="32" t="n">
        <x:f>IF(AND(E70&lt;Settings!$B$13,F70&gt;Settings!$B$13),Settings!$B$14,0)</x:f>
        <x:v>0</x:v>
      </x:c>
      <x:c r="I70" s="32" t="str">
        <x:f>IF(A70="","",G70+H70)</x:f>
      </x:c>
      <x:c r="J70" s="22" t="str">
        <x:f>IF(A70="","",((F70-E70)*24)-(I70/60))</x:f>
      </x:c>
      <x:c r="K70" s="22" t="str">
        <x:f>IF(A70="","",MIN(J70,8))</x:f>
      </x:c>
      <x:c r="L70" s="22" t="str">
        <x:f>IF(A70="","",MAX(J70-8,0))</x:f>
      </x:c>
      <x:c r="M70" s="20" t="str">
        <x:f>IF(A70="","",K70*Settings!$B$5)</x:f>
      </x:c>
      <x:c r="N70" s="20" t="str">
        <x:f>IF(A70="","",L70*Settings!$B$6)</x:f>
      </x:c>
      <x:c r="O70" s="22"/>
      <x:c r="P70" s="22"/>
      <x:c r="Q70" s="22" t="str">
        <x:f>IF(A70="","",MAX(O70-Settings!$B$7,0))</x:f>
      </x:c>
      <x:c r="R70" s="20" t="str">
        <x:f>IF(A70="","",Q70*Settings!$B$8)</x:f>
      </x:c>
      <x:c r="S70" s="20" t="str">
        <x:f>IF(A70="","",M70+N70)</x:f>
      </x:c>
      <x:c r="T70" s="20" t="str">
        <x:f>IF(A70="","",S70+R70)</x:f>
      </x:c>
    </x:row>
    <x:row r="71">
      <x:c r="A71" s="26"/>
      <x:c r="B71" s="26" t="str">
        <x:f>IF(A71="","",A71-MOD(WEEKDAY(A71,2)-5,7))</x:f>
      </x:c>
      <x:c r="C71" s="26" t="str">
        <x:f>IF(B71="","",B71+7)</x:f>
      </x:c>
      <x:c r="D71" t="str">
        <x:f>IF(A71="","",TEXT(A71,"dddd"))</x:f>
      </x:c>
      <x:c r="E71" s="24"/>
      <x:c r="F71" s="24"/>
      <x:c r="G71" s="32" t="n">
        <x:f>IF(AND(E71&lt;Settings!$B$11,F71&gt;Settings!$B$11),Settings!$B$12,0)</x:f>
        <x:v>0</x:v>
      </x:c>
      <x:c r="H71" s="32" t="n">
        <x:f>IF(AND(E71&lt;Settings!$B$13,F71&gt;Settings!$B$13),Settings!$B$14,0)</x:f>
        <x:v>0</x:v>
      </x:c>
      <x:c r="I71" s="32" t="str">
        <x:f>IF(A71="","",G71+H71)</x:f>
      </x:c>
      <x:c r="J71" s="22" t="str">
        <x:f>IF(A71="","",((F71-E71)*24)-(I71/60))</x:f>
      </x:c>
      <x:c r="K71" s="22" t="str">
        <x:f>IF(A71="","",MIN(J71,8))</x:f>
      </x:c>
      <x:c r="L71" s="22" t="str">
        <x:f>IF(A71="","",MAX(J71-8,0))</x:f>
      </x:c>
      <x:c r="M71" s="20" t="str">
        <x:f>IF(A71="","",K71*Settings!$B$5)</x:f>
      </x:c>
      <x:c r="N71" s="20" t="str">
        <x:f>IF(A71="","",L71*Settings!$B$6)</x:f>
      </x:c>
      <x:c r="O71" s="22"/>
      <x:c r="P71" s="22"/>
      <x:c r="Q71" s="22" t="str">
        <x:f>IF(A71="","",MAX(O71-Settings!$B$7,0))</x:f>
      </x:c>
      <x:c r="R71" s="20" t="str">
        <x:f>IF(A71="","",Q71*Settings!$B$8)</x:f>
      </x:c>
      <x:c r="S71" s="20" t="str">
        <x:f>IF(A71="","",M71+N71)</x:f>
      </x:c>
      <x:c r="T71" s="20" t="str">
        <x:f>IF(A71="","",S71+R71)</x:f>
      </x:c>
    </x:row>
    <x:row r="72">
      <x:c r="A72" s="26"/>
      <x:c r="B72" s="26" t="str">
        <x:f>IF(A72="","",A72-MOD(WEEKDAY(A72,2)-5,7))</x:f>
      </x:c>
      <x:c r="C72" s="26" t="str">
        <x:f>IF(B72="","",B72+7)</x:f>
      </x:c>
      <x:c r="D72" t="str">
        <x:f>IF(A72="","",TEXT(A72,"dddd"))</x:f>
      </x:c>
      <x:c r="E72" s="24"/>
      <x:c r="F72" s="24"/>
      <x:c r="G72" s="32" t="n">
        <x:f>IF(AND(E72&lt;Settings!$B$11,F72&gt;Settings!$B$11),Settings!$B$12,0)</x:f>
        <x:v>0</x:v>
      </x:c>
      <x:c r="H72" s="32" t="n">
        <x:f>IF(AND(E72&lt;Settings!$B$13,F72&gt;Settings!$B$13),Settings!$B$14,0)</x:f>
        <x:v>0</x:v>
      </x:c>
      <x:c r="I72" s="32" t="str">
        <x:f>IF(A72="","",G72+H72)</x:f>
      </x:c>
      <x:c r="J72" s="22" t="str">
        <x:f>IF(A72="","",((F72-E72)*24)-(I72/60))</x:f>
      </x:c>
      <x:c r="K72" s="22" t="str">
        <x:f>IF(A72="","",MIN(J72,8))</x:f>
      </x:c>
      <x:c r="L72" s="22" t="str">
        <x:f>IF(A72="","",MAX(J72-8,0))</x:f>
      </x:c>
      <x:c r="M72" s="20" t="str">
        <x:f>IF(A72="","",K72*Settings!$B$5)</x:f>
      </x:c>
      <x:c r="N72" s="20" t="str">
        <x:f>IF(A72="","",L72*Settings!$B$6)</x:f>
      </x:c>
      <x:c r="O72" s="22"/>
      <x:c r="P72" s="22"/>
      <x:c r="Q72" s="22" t="str">
        <x:f>IF(A72="","",MAX(O72-Settings!$B$7,0))</x:f>
      </x:c>
      <x:c r="R72" s="20" t="str">
        <x:f>IF(A72="","",Q72*Settings!$B$8)</x:f>
      </x:c>
      <x:c r="S72" s="20" t="str">
        <x:f>IF(A72="","",M72+N72)</x:f>
      </x:c>
      <x:c r="T72" s="20" t="str">
        <x:f>IF(A72="","",S72+R72)</x:f>
      </x:c>
    </x:row>
    <x:row r="73">
      <x:c r="A73" s="26"/>
      <x:c r="B73" s="26" t="str">
        <x:f>IF(A73="","",A73-MOD(WEEKDAY(A73,2)-5,7))</x:f>
      </x:c>
      <x:c r="C73" s="26" t="str">
        <x:f>IF(B73="","",B73+7)</x:f>
      </x:c>
      <x:c r="D73" t="str">
        <x:f>IF(A73="","",TEXT(A73,"dddd"))</x:f>
      </x:c>
      <x:c r="E73" s="24"/>
      <x:c r="F73" s="24"/>
      <x:c r="G73" s="32" t="n">
        <x:f>IF(AND(E73&lt;Settings!$B$11,F73&gt;Settings!$B$11),Settings!$B$12,0)</x:f>
        <x:v>0</x:v>
      </x:c>
      <x:c r="H73" s="32" t="n">
        <x:f>IF(AND(E73&lt;Settings!$B$13,F73&gt;Settings!$B$13),Settings!$B$14,0)</x:f>
        <x:v>0</x:v>
      </x:c>
      <x:c r="I73" s="32" t="str">
        <x:f>IF(A73="","",G73+H73)</x:f>
      </x:c>
      <x:c r="J73" s="22" t="str">
        <x:f>IF(A73="","",((F73-E73)*24)-(I73/60))</x:f>
      </x:c>
      <x:c r="K73" s="22" t="str">
        <x:f>IF(A73="","",MIN(J73,8))</x:f>
      </x:c>
      <x:c r="L73" s="22" t="str">
        <x:f>IF(A73="","",MAX(J73-8,0))</x:f>
      </x:c>
      <x:c r="M73" s="20" t="str">
        <x:f>IF(A73="","",K73*Settings!$B$5)</x:f>
      </x:c>
      <x:c r="N73" s="20" t="str">
        <x:f>IF(A73="","",L73*Settings!$B$6)</x:f>
      </x:c>
      <x:c r="O73" s="22"/>
      <x:c r="P73" s="22"/>
      <x:c r="Q73" s="22" t="str">
        <x:f>IF(A73="","",MAX(O73-Settings!$B$7,0))</x:f>
      </x:c>
      <x:c r="R73" s="20" t="str">
        <x:f>IF(A73="","",Q73*Settings!$B$8)</x:f>
      </x:c>
      <x:c r="S73" s="20" t="str">
        <x:f>IF(A73="","",M73+N73)</x:f>
      </x:c>
      <x:c r="T73" s="20" t="str">
        <x:f>IF(A73="","",S73+R73)</x:f>
      </x:c>
    </x:row>
    <x:row r="74">
      <x:c r="A74" s="26"/>
      <x:c r="B74" s="26" t="str">
        <x:f>IF(A74="","",A74-MOD(WEEKDAY(A74,2)-5,7))</x:f>
      </x:c>
      <x:c r="C74" s="26" t="str">
        <x:f>IF(B74="","",B74+7)</x:f>
      </x:c>
      <x:c r="D74" t="str">
        <x:f>IF(A74="","",TEXT(A74,"dddd"))</x:f>
      </x:c>
      <x:c r="E74" s="24"/>
      <x:c r="F74" s="24"/>
      <x:c r="G74" s="32" t="n">
        <x:f>IF(AND(E74&lt;Settings!$B$11,F74&gt;Settings!$B$11),Settings!$B$12,0)</x:f>
        <x:v>0</x:v>
      </x:c>
      <x:c r="H74" s="32" t="n">
        <x:f>IF(AND(E74&lt;Settings!$B$13,F74&gt;Settings!$B$13),Settings!$B$14,0)</x:f>
        <x:v>0</x:v>
      </x:c>
      <x:c r="I74" s="32" t="str">
        <x:f>IF(A74="","",G74+H74)</x:f>
      </x:c>
      <x:c r="J74" s="22" t="str">
        <x:f>IF(A74="","",((F74-E74)*24)-(I74/60))</x:f>
      </x:c>
      <x:c r="K74" s="22" t="str">
        <x:f>IF(A74="","",MIN(J74,8))</x:f>
      </x:c>
      <x:c r="L74" s="22" t="str">
        <x:f>IF(A74="","",MAX(J74-8,0))</x:f>
      </x:c>
      <x:c r="M74" s="20" t="str">
        <x:f>IF(A74="","",K74*Settings!$B$5)</x:f>
      </x:c>
      <x:c r="N74" s="20" t="str">
        <x:f>IF(A74="","",L74*Settings!$B$6)</x:f>
      </x:c>
      <x:c r="O74" s="22"/>
      <x:c r="P74" s="22"/>
      <x:c r="Q74" s="22" t="str">
        <x:f>IF(A74="","",MAX(O74-Settings!$B$7,0))</x:f>
      </x:c>
      <x:c r="R74" s="20" t="str">
        <x:f>IF(A74="","",Q74*Settings!$B$8)</x:f>
      </x:c>
      <x:c r="S74" s="20" t="str">
        <x:f>IF(A74="","",M74+N74)</x:f>
      </x:c>
      <x:c r="T74" s="20" t="str">
        <x:f>IF(A74="","",S74+R74)</x:f>
      </x:c>
    </x:row>
    <x:row r="75">
      <x:c r="A75" s="26"/>
      <x:c r="B75" s="26" t="str">
        <x:f>IF(A75="","",A75-MOD(WEEKDAY(A75,2)-5,7))</x:f>
      </x:c>
      <x:c r="C75" s="26" t="str">
        <x:f>IF(B75="","",B75+7)</x:f>
      </x:c>
      <x:c r="D75" t="str">
        <x:f>IF(A75="","",TEXT(A75,"dddd"))</x:f>
      </x:c>
      <x:c r="E75" s="24"/>
      <x:c r="F75" s="24"/>
      <x:c r="G75" s="32" t="n">
        <x:f>IF(AND(E75&lt;Settings!$B$11,F75&gt;Settings!$B$11),Settings!$B$12,0)</x:f>
        <x:v>0</x:v>
      </x:c>
      <x:c r="H75" s="32" t="n">
        <x:f>IF(AND(E75&lt;Settings!$B$13,F75&gt;Settings!$B$13),Settings!$B$14,0)</x:f>
        <x:v>0</x:v>
      </x:c>
      <x:c r="I75" s="32" t="str">
        <x:f>IF(A75="","",G75+H75)</x:f>
      </x:c>
      <x:c r="J75" s="22" t="str">
        <x:f>IF(A75="","",((F75-E75)*24)-(I75/60))</x:f>
      </x:c>
      <x:c r="K75" s="22" t="str">
        <x:f>IF(A75="","",MIN(J75,8))</x:f>
      </x:c>
      <x:c r="L75" s="22" t="str">
        <x:f>IF(A75="","",MAX(J75-8,0))</x:f>
      </x:c>
      <x:c r="M75" s="20" t="str">
        <x:f>IF(A75="","",K75*Settings!$B$5)</x:f>
      </x:c>
      <x:c r="N75" s="20" t="str">
        <x:f>IF(A75="","",L75*Settings!$B$6)</x:f>
      </x:c>
      <x:c r="O75" s="22"/>
      <x:c r="P75" s="22"/>
      <x:c r="Q75" s="22" t="str">
        <x:f>IF(A75="","",MAX(O75-Settings!$B$7,0))</x:f>
      </x:c>
      <x:c r="R75" s="20" t="str">
        <x:f>IF(A75="","",Q75*Settings!$B$8)</x:f>
      </x:c>
      <x:c r="S75" s="20" t="str">
        <x:f>IF(A75="","",M75+N75)</x:f>
      </x:c>
      <x:c r="T75" s="20" t="str">
        <x:f>IF(A75="","",S75+R75)</x:f>
      </x:c>
    </x:row>
    <x:row r="76">
      <x:c r="A76" s="26"/>
      <x:c r="B76" s="26" t="str">
        <x:f>IF(A76="","",A76-MOD(WEEKDAY(A76,2)-5,7))</x:f>
      </x:c>
      <x:c r="C76" s="26" t="str">
        <x:f>IF(B76="","",B76+7)</x:f>
      </x:c>
      <x:c r="D76" t="str">
        <x:f>IF(A76="","",TEXT(A76,"dddd"))</x:f>
      </x:c>
      <x:c r="E76" s="24"/>
      <x:c r="F76" s="24"/>
      <x:c r="G76" s="32" t="n">
        <x:f>IF(AND(E76&lt;Settings!$B$11,F76&gt;Settings!$B$11),Settings!$B$12,0)</x:f>
        <x:v>0</x:v>
      </x:c>
      <x:c r="H76" s="32" t="n">
        <x:f>IF(AND(E76&lt;Settings!$B$13,F76&gt;Settings!$B$13),Settings!$B$14,0)</x:f>
        <x:v>0</x:v>
      </x:c>
      <x:c r="I76" s="32" t="str">
        <x:f>IF(A76="","",G76+H76)</x:f>
      </x:c>
      <x:c r="J76" s="22" t="str">
        <x:f>IF(A76="","",((F76-E76)*24)-(I76/60))</x:f>
      </x:c>
      <x:c r="K76" s="22" t="str">
        <x:f>IF(A76="","",MIN(J76,8))</x:f>
      </x:c>
      <x:c r="L76" s="22" t="str">
        <x:f>IF(A76="","",MAX(J76-8,0))</x:f>
      </x:c>
      <x:c r="M76" s="20" t="str">
        <x:f>IF(A76="","",K76*Settings!$B$5)</x:f>
      </x:c>
      <x:c r="N76" s="20" t="str">
        <x:f>IF(A76="","",L76*Settings!$B$6)</x:f>
      </x:c>
      <x:c r="O76" s="22"/>
      <x:c r="P76" s="22"/>
      <x:c r="Q76" s="22" t="str">
        <x:f>IF(A76="","",MAX(O76-Settings!$B$7,0))</x:f>
      </x:c>
      <x:c r="R76" s="20" t="str">
        <x:f>IF(A76="","",Q76*Settings!$B$8)</x:f>
      </x:c>
      <x:c r="S76" s="20" t="str">
        <x:f>IF(A76="","",M76+N76)</x:f>
      </x:c>
      <x:c r="T76" s="20" t="str">
        <x:f>IF(A76="","",S76+R76)</x:f>
      </x:c>
    </x:row>
    <x:row r="77">
      <x:c r="A77" s="26"/>
      <x:c r="B77" s="26" t="str">
        <x:f>IF(A77="","",A77-MOD(WEEKDAY(A77,2)-5,7))</x:f>
      </x:c>
      <x:c r="C77" s="26" t="str">
        <x:f>IF(B77="","",B77+7)</x:f>
      </x:c>
      <x:c r="D77" t="str">
        <x:f>IF(A77="","",TEXT(A77,"dddd"))</x:f>
      </x:c>
      <x:c r="E77" s="24"/>
      <x:c r="F77" s="24"/>
      <x:c r="G77" s="32" t="n">
        <x:f>IF(AND(E77&lt;Settings!$B$11,F77&gt;Settings!$B$11),Settings!$B$12,0)</x:f>
        <x:v>0</x:v>
      </x:c>
      <x:c r="H77" s="32" t="n">
        <x:f>IF(AND(E77&lt;Settings!$B$13,F77&gt;Settings!$B$13),Settings!$B$14,0)</x:f>
        <x:v>0</x:v>
      </x:c>
      <x:c r="I77" s="32" t="str">
        <x:f>IF(A77="","",G77+H77)</x:f>
      </x:c>
      <x:c r="J77" s="22" t="str">
        <x:f>IF(A77="","",((F77-E77)*24)-(I77/60))</x:f>
      </x:c>
      <x:c r="K77" s="22" t="str">
        <x:f>IF(A77="","",MIN(J77,8))</x:f>
      </x:c>
      <x:c r="L77" s="22" t="str">
        <x:f>IF(A77="","",MAX(J77-8,0))</x:f>
      </x:c>
      <x:c r="M77" s="20" t="str">
        <x:f>IF(A77="","",K77*Settings!$B$5)</x:f>
      </x:c>
      <x:c r="N77" s="20" t="str">
        <x:f>IF(A77="","",L77*Settings!$B$6)</x:f>
      </x:c>
      <x:c r="O77" s="22"/>
      <x:c r="P77" s="22"/>
      <x:c r="Q77" s="22" t="str">
        <x:f>IF(A77="","",MAX(O77-Settings!$B$7,0))</x:f>
      </x:c>
      <x:c r="R77" s="20" t="str">
        <x:f>IF(A77="","",Q77*Settings!$B$8)</x:f>
      </x:c>
      <x:c r="S77" s="20" t="str">
        <x:f>IF(A77="","",M77+N77)</x:f>
      </x:c>
      <x:c r="T77" s="20" t="str">
        <x:f>IF(A77="","",S77+R77)</x:f>
      </x:c>
    </x:row>
    <x:row r="78">
      <x:c r="A78" s="26"/>
      <x:c r="B78" s="26" t="str">
        <x:f>IF(A78="","",A78-MOD(WEEKDAY(A78,2)-5,7))</x:f>
      </x:c>
      <x:c r="C78" s="26" t="str">
        <x:f>IF(B78="","",B78+7)</x:f>
      </x:c>
      <x:c r="D78" t="str">
        <x:f>IF(A78="","",TEXT(A78,"dddd"))</x:f>
      </x:c>
      <x:c r="E78" s="24"/>
      <x:c r="F78" s="24"/>
      <x:c r="G78" s="32" t="n">
        <x:f>IF(AND(E78&lt;Settings!$B$11,F78&gt;Settings!$B$11),Settings!$B$12,0)</x:f>
        <x:v>0</x:v>
      </x:c>
      <x:c r="H78" s="32" t="n">
        <x:f>IF(AND(E78&lt;Settings!$B$13,F78&gt;Settings!$B$13),Settings!$B$14,0)</x:f>
        <x:v>0</x:v>
      </x:c>
      <x:c r="I78" s="32" t="str">
        <x:f>IF(A78="","",G78+H78)</x:f>
      </x:c>
      <x:c r="J78" s="22" t="str">
        <x:f>IF(A78="","",((F78-E78)*24)-(I78/60))</x:f>
      </x:c>
      <x:c r="K78" s="22" t="str">
        <x:f>IF(A78="","",MIN(J78,8))</x:f>
      </x:c>
      <x:c r="L78" s="22" t="str">
        <x:f>IF(A78="","",MAX(J78-8,0))</x:f>
      </x:c>
      <x:c r="M78" s="20" t="str">
        <x:f>IF(A78="","",K78*Settings!$B$5)</x:f>
      </x:c>
      <x:c r="N78" s="20" t="str">
        <x:f>IF(A78="","",L78*Settings!$B$6)</x:f>
      </x:c>
      <x:c r="O78" s="22"/>
      <x:c r="P78" s="22"/>
      <x:c r="Q78" s="22" t="str">
        <x:f>IF(A78="","",MAX(O78-Settings!$B$7,0))</x:f>
      </x:c>
      <x:c r="R78" s="20" t="str">
        <x:f>IF(A78="","",Q78*Settings!$B$8)</x:f>
      </x:c>
      <x:c r="S78" s="20" t="str">
        <x:f>IF(A78="","",M78+N78)</x:f>
      </x:c>
      <x:c r="T78" s="20" t="str">
        <x:f>IF(A78="","",S78+R78)</x:f>
      </x:c>
    </x:row>
    <x:row r="79">
      <x:c r="A79" s="26"/>
      <x:c r="B79" s="26" t="str">
        <x:f>IF(A79="","",A79-MOD(WEEKDAY(A79,2)-5,7))</x:f>
      </x:c>
      <x:c r="C79" s="26" t="str">
        <x:f>IF(B79="","",B79+7)</x:f>
      </x:c>
      <x:c r="D79" t="str">
        <x:f>IF(A79="","",TEXT(A79,"dddd"))</x:f>
      </x:c>
      <x:c r="E79" s="24"/>
      <x:c r="F79" s="24"/>
      <x:c r="G79" s="32" t="n">
        <x:f>IF(AND(E79&lt;Settings!$B$11,F79&gt;Settings!$B$11),Settings!$B$12,0)</x:f>
        <x:v>0</x:v>
      </x:c>
      <x:c r="H79" s="32" t="n">
        <x:f>IF(AND(E79&lt;Settings!$B$13,F79&gt;Settings!$B$13),Settings!$B$14,0)</x:f>
        <x:v>0</x:v>
      </x:c>
      <x:c r="I79" s="32" t="str">
        <x:f>IF(A79="","",G79+H79)</x:f>
      </x:c>
      <x:c r="J79" s="22" t="str">
        <x:f>IF(A79="","",((F79-E79)*24)-(I79/60))</x:f>
      </x:c>
      <x:c r="K79" s="22" t="str">
        <x:f>IF(A79="","",MIN(J79,8))</x:f>
      </x:c>
      <x:c r="L79" s="22" t="str">
        <x:f>IF(A79="","",MAX(J79-8,0))</x:f>
      </x:c>
      <x:c r="M79" s="20" t="str">
        <x:f>IF(A79="","",K79*Settings!$B$5)</x:f>
      </x:c>
      <x:c r="N79" s="20" t="str">
        <x:f>IF(A79="","",L79*Settings!$B$6)</x:f>
      </x:c>
      <x:c r="O79" s="22"/>
      <x:c r="P79" s="22"/>
      <x:c r="Q79" s="22" t="str">
        <x:f>IF(A79="","",MAX(O79-Settings!$B$7,0))</x:f>
      </x:c>
      <x:c r="R79" s="20" t="str">
        <x:f>IF(A79="","",Q79*Settings!$B$8)</x:f>
      </x:c>
      <x:c r="S79" s="20" t="str">
        <x:f>IF(A79="","",M79+N79)</x:f>
      </x:c>
      <x:c r="T79" s="20" t="str">
        <x:f>IF(A79="","",S79+R79)</x:f>
      </x:c>
    </x:row>
    <x:row r="80">
      <x:c r="A80" s="26"/>
      <x:c r="B80" s="26" t="str">
        <x:f>IF(A80="","",A80-MOD(WEEKDAY(A80,2)-5,7))</x:f>
      </x:c>
      <x:c r="C80" s="26" t="str">
        <x:f>IF(B80="","",B80+7)</x:f>
      </x:c>
      <x:c r="D80" t="str">
        <x:f>IF(A80="","",TEXT(A80,"dddd"))</x:f>
      </x:c>
      <x:c r="E80" s="24"/>
      <x:c r="F80" s="24"/>
      <x:c r="G80" s="32" t="n">
        <x:f>IF(AND(E80&lt;Settings!$B$11,F80&gt;Settings!$B$11),Settings!$B$12,0)</x:f>
        <x:v>0</x:v>
      </x:c>
      <x:c r="H80" s="32" t="n">
        <x:f>IF(AND(E80&lt;Settings!$B$13,F80&gt;Settings!$B$13),Settings!$B$14,0)</x:f>
        <x:v>0</x:v>
      </x:c>
      <x:c r="I80" s="32" t="str">
        <x:f>IF(A80="","",G80+H80)</x:f>
      </x:c>
      <x:c r="J80" s="22" t="str">
        <x:f>IF(A80="","",((F80-E80)*24)-(I80/60))</x:f>
      </x:c>
      <x:c r="K80" s="22" t="str">
        <x:f>IF(A80="","",MIN(J80,8))</x:f>
      </x:c>
      <x:c r="L80" s="22" t="str">
        <x:f>IF(A80="","",MAX(J80-8,0))</x:f>
      </x:c>
      <x:c r="M80" s="20" t="str">
        <x:f>IF(A80="","",K80*Settings!$B$5)</x:f>
      </x:c>
      <x:c r="N80" s="20" t="str">
        <x:f>IF(A80="","",L80*Settings!$B$6)</x:f>
      </x:c>
      <x:c r="O80" s="22"/>
      <x:c r="P80" s="22"/>
      <x:c r="Q80" s="22" t="str">
        <x:f>IF(A80="","",MAX(O80-Settings!$B$7,0))</x:f>
      </x:c>
      <x:c r="R80" s="20" t="str">
        <x:f>IF(A80="","",Q80*Settings!$B$8)</x:f>
      </x:c>
      <x:c r="S80" s="20" t="str">
        <x:f>IF(A80="","",M80+N80)</x:f>
      </x:c>
      <x:c r="T80" s="20" t="str">
        <x:f>IF(A80="","",S80+R80)</x:f>
      </x:c>
    </x:row>
    <x:row r="81">
      <x:c r="A81" s="26"/>
      <x:c r="B81" s="26" t="str">
        <x:f>IF(A81="","",A81-MOD(WEEKDAY(A81,2)-5,7))</x:f>
      </x:c>
      <x:c r="C81" s="26" t="str">
        <x:f>IF(B81="","",B81+7)</x:f>
      </x:c>
      <x:c r="D81" t="str">
        <x:f>IF(A81="","",TEXT(A81,"dddd"))</x:f>
      </x:c>
      <x:c r="E81" s="24"/>
      <x:c r="F81" s="24"/>
      <x:c r="G81" s="32" t="n">
        <x:f>IF(AND(E81&lt;Settings!$B$11,F81&gt;Settings!$B$11),Settings!$B$12,0)</x:f>
        <x:v>0</x:v>
      </x:c>
      <x:c r="H81" s="32" t="n">
        <x:f>IF(AND(E81&lt;Settings!$B$13,F81&gt;Settings!$B$13),Settings!$B$14,0)</x:f>
        <x:v>0</x:v>
      </x:c>
      <x:c r="I81" s="32" t="str">
        <x:f>IF(A81="","",G81+H81)</x:f>
      </x:c>
      <x:c r="J81" s="22" t="str">
        <x:f>IF(A81="","",((F81-E81)*24)-(I81/60))</x:f>
      </x:c>
      <x:c r="K81" s="22" t="str">
        <x:f>IF(A81="","",MIN(J81,8))</x:f>
      </x:c>
      <x:c r="L81" s="22" t="str">
        <x:f>IF(A81="","",MAX(J81-8,0))</x:f>
      </x:c>
      <x:c r="M81" s="20" t="str">
        <x:f>IF(A81="","",K81*Settings!$B$5)</x:f>
      </x:c>
      <x:c r="N81" s="20" t="str">
        <x:f>IF(A81="","",L81*Settings!$B$6)</x:f>
      </x:c>
      <x:c r="O81" s="22"/>
      <x:c r="P81" s="22"/>
      <x:c r="Q81" s="22" t="str">
        <x:f>IF(A81="","",MAX(O81-Settings!$B$7,0))</x:f>
      </x:c>
      <x:c r="R81" s="20" t="str">
        <x:f>IF(A81="","",Q81*Settings!$B$8)</x:f>
      </x:c>
      <x:c r="S81" s="20" t="str">
        <x:f>IF(A81="","",M81+N81)</x:f>
      </x:c>
      <x:c r="T81" s="20" t="str">
        <x:f>IF(A81="","",S81+R81)</x:f>
      </x:c>
    </x:row>
    <x:row r="82">
      <x:c r="A82" s="26"/>
      <x:c r="B82" s="26" t="str">
        <x:f>IF(A82="","",A82-MOD(WEEKDAY(A82,2)-5,7))</x:f>
      </x:c>
      <x:c r="C82" s="26" t="str">
        <x:f>IF(B82="","",B82+7)</x:f>
      </x:c>
      <x:c r="D82" t="str">
        <x:f>IF(A82="","",TEXT(A82,"dddd"))</x:f>
      </x:c>
      <x:c r="E82" s="24"/>
      <x:c r="F82" s="24"/>
      <x:c r="G82" s="32" t="n">
        <x:f>IF(AND(E82&lt;Settings!$B$11,F82&gt;Settings!$B$11),Settings!$B$12,0)</x:f>
        <x:v>0</x:v>
      </x:c>
      <x:c r="H82" s="32" t="n">
        <x:f>IF(AND(E82&lt;Settings!$B$13,F82&gt;Settings!$B$13),Settings!$B$14,0)</x:f>
        <x:v>0</x:v>
      </x:c>
      <x:c r="I82" s="32" t="str">
        <x:f>IF(A82="","",G82+H82)</x:f>
      </x:c>
      <x:c r="J82" s="22" t="str">
        <x:f>IF(A82="","",((F82-E82)*24)-(I82/60))</x:f>
      </x:c>
      <x:c r="K82" s="22" t="str">
        <x:f>IF(A82="","",MIN(J82,8))</x:f>
      </x:c>
      <x:c r="L82" s="22" t="str">
        <x:f>IF(A82="","",MAX(J82-8,0))</x:f>
      </x:c>
      <x:c r="M82" s="20" t="str">
        <x:f>IF(A82="","",K82*Settings!$B$5)</x:f>
      </x:c>
      <x:c r="N82" s="20" t="str">
        <x:f>IF(A82="","",L82*Settings!$B$6)</x:f>
      </x:c>
      <x:c r="O82" s="22"/>
      <x:c r="P82" s="22"/>
      <x:c r="Q82" s="22" t="str">
        <x:f>IF(A82="","",MAX(O82-Settings!$B$7,0))</x:f>
      </x:c>
      <x:c r="R82" s="20" t="str">
        <x:f>IF(A82="","",Q82*Settings!$B$8)</x:f>
      </x:c>
      <x:c r="S82" s="20" t="str">
        <x:f>IF(A82="","",M82+N82)</x:f>
      </x:c>
      <x:c r="T82" s="20" t="str">
        <x:f>IF(A82="","",S82+R82)</x:f>
      </x:c>
    </x:row>
    <x:row r="83">
      <x:c r="A83" s="26"/>
      <x:c r="B83" s="26" t="str">
        <x:f>IF(A83="","",A83-MOD(WEEKDAY(A83,2)-5,7))</x:f>
      </x:c>
      <x:c r="C83" s="26" t="str">
        <x:f>IF(B83="","",B83+7)</x:f>
      </x:c>
      <x:c r="D83" t="str">
        <x:f>IF(A83="","",TEXT(A83,"dddd"))</x:f>
      </x:c>
      <x:c r="E83" s="24"/>
      <x:c r="F83" s="24"/>
      <x:c r="G83" s="32" t="n">
        <x:f>IF(AND(E83&lt;Settings!$B$11,F83&gt;Settings!$B$11),Settings!$B$12,0)</x:f>
        <x:v>0</x:v>
      </x:c>
      <x:c r="H83" s="32" t="n">
        <x:f>IF(AND(E83&lt;Settings!$B$13,F83&gt;Settings!$B$13),Settings!$B$14,0)</x:f>
        <x:v>0</x:v>
      </x:c>
      <x:c r="I83" s="32" t="str">
        <x:f>IF(A83="","",G83+H83)</x:f>
      </x:c>
      <x:c r="J83" s="22" t="str">
        <x:f>IF(A83="","",((F83-E83)*24)-(I83/60))</x:f>
      </x:c>
      <x:c r="K83" s="22" t="str">
        <x:f>IF(A83="","",MIN(J83,8))</x:f>
      </x:c>
      <x:c r="L83" s="22" t="str">
        <x:f>IF(A83="","",MAX(J83-8,0))</x:f>
      </x:c>
      <x:c r="M83" s="20" t="str">
        <x:f>IF(A83="","",K83*Settings!$B$5)</x:f>
      </x:c>
      <x:c r="N83" s="20" t="str">
        <x:f>IF(A83="","",L83*Settings!$B$6)</x:f>
      </x:c>
      <x:c r="O83" s="22"/>
      <x:c r="P83" s="22"/>
      <x:c r="Q83" s="22" t="str">
        <x:f>IF(A83="","",MAX(O83-Settings!$B$7,0))</x:f>
      </x:c>
      <x:c r="R83" s="20" t="str">
        <x:f>IF(A83="","",Q83*Settings!$B$8)</x:f>
      </x:c>
      <x:c r="S83" s="20" t="str">
        <x:f>IF(A83="","",M83+N83)</x:f>
      </x:c>
      <x:c r="T83" s="20" t="str">
        <x:f>IF(A83="","",S83+R83)</x:f>
      </x:c>
    </x:row>
    <x:row r="84">
      <x:c r="A84" s="26"/>
      <x:c r="B84" s="26" t="str">
        <x:f>IF(A84="","",A84-MOD(WEEKDAY(A84,2)-5,7))</x:f>
      </x:c>
      <x:c r="C84" s="26" t="str">
        <x:f>IF(B84="","",B84+7)</x:f>
      </x:c>
      <x:c r="D84" t="str">
        <x:f>IF(A84="","",TEXT(A84,"dddd"))</x:f>
      </x:c>
      <x:c r="E84" s="24"/>
      <x:c r="F84" s="24"/>
      <x:c r="G84" s="32" t="n">
        <x:f>IF(AND(E84&lt;Settings!$B$11,F84&gt;Settings!$B$11),Settings!$B$12,0)</x:f>
        <x:v>0</x:v>
      </x:c>
      <x:c r="H84" s="32" t="n">
        <x:f>IF(AND(E84&lt;Settings!$B$13,F84&gt;Settings!$B$13),Settings!$B$14,0)</x:f>
        <x:v>0</x:v>
      </x:c>
      <x:c r="I84" s="32" t="str">
        <x:f>IF(A84="","",G84+H84)</x:f>
      </x:c>
      <x:c r="J84" s="22" t="str">
        <x:f>IF(A84="","",((F84-E84)*24)-(I84/60))</x:f>
      </x:c>
      <x:c r="K84" s="22" t="str">
        <x:f>IF(A84="","",MIN(J84,8))</x:f>
      </x:c>
      <x:c r="L84" s="22" t="str">
        <x:f>IF(A84="","",MAX(J84-8,0))</x:f>
      </x:c>
      <x:c r="M84" s="20" t="str">
        <x:f>IF(A84="","",K84*Settings!$B$5)</x:f>
      </x:c>
      <x:c r="N84" s="20" t="str">
        <x:f>IF(A84="","",L84*Settings!$B$6)</x:f>
      </x:c>
      <x:c r="O84" s="22"/>
      <x:c r="P84" s="22"/>
      <x:c r="Q84" s="22" t="str">
        <x:f>IF(A84="","",MAX(O84-Settings!$B$7,0))</x:f>
      </x:c>
      <x:c r="R84" s="20" t="str">
        <x:f>IF(A84="","",Q84*Settings!$B$8)</x:f>
      </x:c>
      <x:c r="S84" s="20" t="str">
        <x:f>IF(A84="","",M84+N84)</x:f>
      </x:c>
      <x:c r="T84" s="20" t="str">
        <x:f>IF(A84="","",S84+R84)</x:f>
      </x:c>
    </x:row>
    <x:row r="85">
      <x:c r="A85" s="26"/>
      <x:c r="B85" s="26" t="str">
        <x:f>IF(A85="","",A85-MOD(WEEKDAY(A85,2)-5,7))</x:f>
      </x:c>
      <x:c r="C85" s="26" t="str">
        <x:f>IF(B85="","",B85+7)</x:f>
      </x:c>
      <x:c r="D85" t="str">
        <x:f>IF(A85="","",TEXT(A85,"dddd"))</x:f>
      </x:c>
      <x:c r="E85" s="24"/>
      <x:c r="F85" s="24"/>
      <x:c r="G85" s="32" t="n">
        <x:f>IF(AND(E85&lt;Settings!$B$11,F85&gt;Settings!$B$11),Settings!$B$12,0)</x:f>
        <x:v>0</x:v>
      </x:c>
      <x:c r="H85" s="32" t="n">
        <x:f>IF(AND(E85&lt;Settings!$B$13,F85&gt;Settings!$B$13),Settings!$B$14,0)</x:f>
        <x:v>0</x:v>
      </x:c>
      <x:c r="I85" s="32" t="str">
        <x:f>IF(A85="","",G85+H85)</x:f>
      </x:c>
      <x:c r="J85" s="22" t="str">
        <x:f>IF(A85="","",((F85-E85)*24)-(I85/60))</x:f>
      </x:c>
      <x:c r="K85" s="22" t="str">
        <x:f>IF(A85="","",MIN(J85,8))</x:f>
      </x:c>
      <x:c r="L85" s="22" t="str">
        <x:f>IF(A85="","",MAX(J85-8,0))</x:f>
      </x:c>
      <x:c r="M85" s="20" t="str">
        <x:f>IF(A85="","",K85*Settings!$B$5)</x:f>
      </x:c>
      <x:c r="N85" s="20" t="str">
        <x:f>IF(A85="","",L85*Settings!$B$6)</x:f>
      </x:c>
      <x:c r="O85" s="22"/>
      <x:c r="P85" s="22"/>
      <x:c r="Q85" s="22" t="str">
        <x:f>IF(A85="","",MAX(O85-Settings!$B$7,0))</x:f>
      </x:c>
      <x:c r="R85" s="20" t="str">
        <x:f>IF(A85="","",Q85*Settings!$B$8)</x:f>
      </x:c>
      <x:c r="S85" s="20" t="str">
        <x:f>IF(A85="","",M85+N85)</x:f>
      </x:c>
      <x:c r="T85" s="20" t="str">
        <x:f>IF(A85="","",S85+R85)</x:f>
      </x:c>
    </x:row>
    <x:row r="86">
      <x:c r="A86" s="26"/>
      <x:c r="B86" s="26" t="str">
        <x:f>IF(A86="","",A86-MOD(WEEKDAY(A86,2)-5,7))</x:f>
      </x:c>
      <x:c r="C86" s="26" t="str">
        <x:f>IF(B86="","",B86+7)</x:f>
      </x:c>
      <x:c r="D86" t="str">
        <x:f>IF(A86="","",TEXT(A86,"dddd"))</x:f>
      </x:c>
      <x:c r="E86" s="24"/>
      <x:c r="F86" s="24"/>
      <x:c r="G86" s="32" t="n">
        <x:f>IF(AND(E86&lt;Settings!$B$11,F86&gt;Settings!$B$11),Settings!$B$12,0)</x:f>
        <x:v>0</x:v>
      </x:c>
      <x:c r="H86" s="32" t="n">
        <x:f>IF(AND(E86&lt;Settings!$B$13,F86&gt;Settings!$B$13),Settings!$B$14,0)</x:f>
        <x:v>0</x:v>
      </x:c>
      <x:c r="I86" s="32" t="str">
        <x:f>IF(A86="","",G86+H86)</x:f>
      </x:c>
      <x:c r="J86" s="22" t="str">
        <x:f>IF(A86="","",((F86-E86)*24)-(I86/60))</x:f>
      </x:c>
      <x:c r="K86" s="22" t="str">
        <x:f>IF(A86="","",MIN(J86,8))</x:f>
      </x:c>
      <x:c r="L86" s="22" t="str">
        <x:f>IF(A86="","",MAX(J86-8,0))</x:f>
      </x:c>
      <x:c r="M86" s="20" t="str">
        <x:f>IF(A86="","",K86*Settings!$B$5)</x:f>
      </x:c>
      <x:c r="N86" s="20" t="str">
        <x:f>IF(A86="","",L86*Settings!$B$6)</x:f>
      </x:c>
      <x:c r="O86" s="22"/>
      <x:c r="P86" s="22"/>
      <x:c r="Q86" s="22" t="str">
        <x:f>IF(A86="","",MAX(O86-Settings!$B$7,0))</x:f>
      </x:c>
      <x:c r="R86" s="20" t="str">
        <x:f>IF(A86="","",Q86*Settings!$B$8)</x:f>
      </x:c>
      <x:c r="S86" s="20" t="str">
        <x:f>IF(A86="","",M86+N86)</x:f>
      </x:c>
      <x:c r="T86" s="20" t="str">
        <x:f>IF(A86="","",S86+R86)</x:f>
      </x:c>
    </x:row>
    <x:row r="87">
      <x:c r="A87" s="26"/>
      <x:c r="B87" s="26" t="str">
        <x:f>IF(A87="","",A87-MOD(WEEKDAY(A87,2)-5,7))</x:f>
      </x:c>
      <x:c r="C87" s="26" t="str">
        <x:f>IF(B87="","",B87+7)</x:f>
      </x:c>
      <x:c r="D87" t="str">
        <x:f>IF(A87="","",TEXT(A87,"dddd"))</x:f>
      </x:c>
      <x:c r="E87" s="24"/>
      <x:c r="F87" s="24"/>
      <x:c r="G87" s="32" t="n">
        <x:f>IF(AND(E87&lt;Settings!$B$11,F87&gt;Settings!$B$11),Settings!$B$12,0)</x:f>
        <x:v>0</x:v>
      </x:c>
      <x:c r="H87" s="32" t="n">
        <x:f>IF(AND(E87&lt;Settings!$B$13,F87&gt;Settings!$B$13),Settings!$B$14,0)</x:f>
        <x:v>0</x:v>
      </x:c>
      <x:c r="I87" s="32" t="str">
        <x:f>IF(A87="","",G87+H87)</x:f>
      </x:c>
      <x:c r="J87" s="22" t="str">
        <x:f>IF(A87="","",((F87-E87)*24)-(I87/60))</x:f>
      </x:c>
      <x:c r="K87" s="22" t="str">
        <x:f>IF(A87="","",MIN(J87,8))</x:f>
      </x:c>
      <x:c r="L87" s="22" t="str">
        <x:f>IF(A87="","",MAX(J87-8,0))</x:f>
      </x:c>
      <x:c r="M87" s="20" t="str">
        <x:f>IF(A87="","",K87*Settings!$B$5)</x:f>
      </x:c>
      <x:c r="N87" s="20" t="str">
        <x:f>IF(A87="","",L87*Settings!$B$6)</x:f>
      </x:c>
      <x:c r="O87" s="22"/>
      <x:c r="P87" s="22"/>
      <x:c r="Q87" s="22" t="str">
        <x:f>IF(A87="","",MAX(O87-Settings!$B$7,0))</x:f>
      </x:c>
      <x:c r="R87" s="20" t="str">
        <x:f>IF(A87="","",Q87*Settings!$B$8)</x:f>
      </x:c>
      <x:c r="S87" s="20" t="str">
        <x:f>IF(A87="","",M87+N87)</x:f>
      </x:c>
      <x:c r="T87" s="20" t="str">
        <x:f>IF(A87="","",S87+R87)</x:f>
      </x:c>
    </x:row>
    <x:row r="88">
      <x:c r="A88" s="26"/>
      <x:c r="B88" s="26" t="str">
        <x:f>IF(A88="","",A88-MOD(WEEKDAY(A88,2)-5,7))</x:f>
      </x:c>
      <x:c r="C88" s="26" t="str">
        <x:f>IF(B88="","",B88+7)</x:f>
      </x:c>
      <x:c r="D88" t="str">
        <x:f>IF(A88="","",TEXT(A88,"dddd"))</x:f>
      </x:c>
      <x:c r="E88" s="24"/>
      <x:c r="F88" s="24"/>
      <x:c r="G88" s="32" t="n">
        <x:f>IF(AND(E88&lt;Settings!$B$11,F88&gt;Settings!$B$11),Settings!$B$12,0)</x:f>
        <x:v>0</x:v>
      </x:c>
      <x:c r="H88" s="32" t="n">
        <x:f>IF(AND(E88&lt;Settings!$B$13,F88&gt;Settings!$B$13),Settings!$B$14,0)</x:f>
        <x:v>0</x:v>
      </x:c>
      <x:c r="I88" s="32" t="str">
        <x:f>IF(A88="","",G88+H88)</x:f>
      </x:c>
      <x:c r="J88" s="22" t="str">
        <x:f>IF(A88="","",((F88-E88)*24)-(I88/60))</x:f>
      </x:c>
      <x:c r="K88" s="22" t="str">
        <x:f>IF(A88="","",MIN(J88,8))</x:f>
      </x:c>
      <x:c r="L88" s="22" t="str">
        <x:f>IF(A88="","",MAX(J88-8,0))</x:f>
      </x:c>
      <x:c r="M88" s="20" t="str">
        <x:f>IF(A88="","",K88*Settings!$B$5)</x:f>
      </x:c>
      <x:c r="N88" s="20" t="str">
        <x:f>IF(A88="","",L88*Settings!$B$6)</x:f>
      </x:c>
      <x:c r="O88" s="22"/>
      <x:c r="P88" s="22"/>
      <x:c r="Q88" s="22" t="str">
        <x:f>IF(A88="","",MAX(O88-Settings!$B$7,0))</x:f>
      </x:c>
      <x:c r="R88" s="20" t="str">
        <x:f>IF(A88="","",Q88*Settings!$B$8)</x:f>
      </x:c>
      <x:c r="S88" s="20" t="str">
        <x:f>IF(A88="","",M88+N88)</x:f>
      </x:c>
      <x:c r="T88" s="20" t="str">
        <x:f>IF(A88="","",S88+R88)</x:f>
      </x:c>
    </x:row>
    <x:row r="89">
      <x:c r="A89" s="26"/>
      <x:c r="B89" s="26" t="str">
        <x:f>IF(A89="","",A89-MOD(WEEKDAY(A89,2)-5,7))</x:f>
      </x:c>
      <x:c r="C89" s="26" t="str">
        <x:f>IF(B89="","",B89+7)</x:f>
      </x:c>
      <x:c r="D89" t="str">
        <x:f>IF(A89="","",TEXT(A89,"dddd"))</x:f>
      </x:c>
      <x:c r="E89" s="24"/>
      <x:c r="F89" s="24"/>
      <x:c r="G89" s="32" t="n">
        <x:f>IF(AND(E89&lt;Settings!$B$11,F89&gt;Settings!$B$11),Settings!$B$12,0)</x:f>
        <x:v>0</x:v>
      </x:c>
      <x:c r="H89" s="32" t="n">
        <x:f>IF(AND(E89&lt;Settings!$B$13,F89&gt;Settings!$B$13),Settings!$B$14,0)</x:f>
        <x:v>0</x:v>
      </x:c>
      <x:c r="I89" s="32" t="str">
        <x:f>IF(A89="","",G89+H89)</x:f>
      </x:c>
      <x:c r="J89" s="22" t="str">
        <x:f>IF(A89="","",((F89-E89)*24)-(I89/60))</x:f>
      </x:c>
      <x:c r="K89" s="22" t="str">
        <x:f>IF(A89="","",MIN(J89,8))</x:f>
      </x:c>
      <x:c r="L89" s="22" t="str">
        <x:f>IF(A89="","",MAX(J89-8,0))</x:f>
      </x:c>
      <x:c r="M89" s="20" t="str">
        <x:f>IF(A89="","",K89*Settings!$B$5)</x:f>
      </x:c>
      <x:c r="N89" s="20" t="str">
        <x:f>IF(A89="","",L89*Settings!$B$6)</x:f>
      </x:c>
      <x:c r="O89" s="22"/>
      <x:c r="P89" s="22"/>
      <x:c r="Q89" s="22" t="str">
        <x:f>IF(A89="","",MAX(O89-Settings!$B$7,0))</x:f>
      </x:c>
      <x:c r="R89" s="20" t="str">
        <x:f>IF(A89="","",Q89*Settings!$B$8)</x:f>
      </x:c>
      <x:c r="S89" s="20" t="str">
        <x:f>IF(A89="","",M89+N89)</x:f>
      </x:c>
      <x:c r="T89" s="20" t="str">
        <x:f>IF(A89="","",S89+R89)</x:f>
      </x:c>
    </x:row>
    <x:row r="90">
      <x:c r="A90" s="26"/>
      <x:c r="B90" s="26" t="str">
        <x:f>IF(A90="","",A90-MOD(WEEKDAY(A90,2)-5,7))</x:f>
      </x:c>
      <x:c r="C90" s="26" t="str">
        <x:f>IF(B90="","",B90+7)</x:f>
      </x:c>
      <x:c r="D90" t="str">
        <x:f>IF(A90="","",TEXT(A90,"dddd"))</x:f>
      </x:c>
      <x:c r="E90" s="24"/>
      <x:c r="F90" s="24"/>
      <x:c r="G90" s="32" t="n">
        <x:f>IF(AND(E90&lt;Settings!$B$11,F90&gt;Settings!$B$11),Settings!$B$12,0)</x:f>
        <x:v>0</x:v>
      </x:c>
      <x:c r="H90" s="32" t="n">
        <x:f>IF(AND(E90&lt;Settings!$B$13,F90&gt;Settings!$B$13),Settings!$B$14,0)</x:f>
        <x:v>0</x:v>
      </x:c>
      <x:c r="I90" s="32" t="str">
        <x:f>IF(A90="","",G90+H90)</x:f>
      </x:c>
      <x:c r="J90" s="22" t="str">
        <x:f>IF(A90="","",((F90-E90)*24)-(I90/60))</x:f>
      </x:c>
      <x:c r="K90" s="22" t="str">
        <x:f>IF(A90="","",MIN(J90,8))</x:f>
      </x:c>
      <x:c r="L90" s="22" t="str">
        <x:f>IF(A90="","",MAX(J90-8,0))</x:f>
      </x:c>
      <x:c r="M90" s="20" t="str">
        <x:f>IF(A90="","",K90*Settings!$B$5)</x:f>
      </x:c>
      <x:c r="N90" s="20" t="str">
        <x:f>IF(A90="","",L90*Settings!$B$6)</x:f>
      </x:c>
      <x:c r="O90" s="22"/>
      <x:c r="P90" s="22"/>
      <x:c r="Q90" s="22" t="str">
        <x:f>IF(A90="","",MAX(O90-Settings!$B$7,0))</x:f>
      </x:c>
      <x:c r="R90" s="20" t="str">
        <x:f>IF(A90="","",Q90*Settings!$B$8)</x:f>
      </x:c>
      <x:c r="S90" s="20" t="str">
        <x:f>IF(A90="","",M90+N90)</x:f>
      </x:c>
      <x:c r="T90" s="20" t="str">
        <x:f>IF(A90="","",S90+R90)</x:f>
      </x:c>
    </x:row>
    <x:row r="91">
      <x:c r="A91" s="26"/>
      <x:c r="B91" s="26" t="str">
        <x:f>IF(A91="","",A91-MOD(WEEKDAY(A91,2)-5,7))</x:f>
      </x:c>
      <x:c r="C91" s="26" t="str">
        <x:f>IF(B91="","",B91+7)</x:f>
      </x:c>
      <x:c r="D91" t="str">
        <x:f>IF(A91="","",TEXT(A91,"dddd"))</x:f>
      </x:c>
      <x:c r="E91" s="24"/>
      <x:c r="F91" s="24"/>
      <x:c r="G91" s="32" t="n">
        <x:f>IF(AND(E91&lt;Settings!$B$11,F91&gt;Settings!$B$11),Settings!$B$12,0)</x:f>
        <x:v>0</x:v>
      </x:c>
      <x:c r="H91" s="32" t="n">
        <x:f>IF(AND(E91&lt;Settings!$B$13,F91&gt;Settings!$B$13),Settings!$B$14,0)</x:f>
        <x:v>0</x:v>
      </x:c>
      <x:c r="I91" s="32" t="str">
        <x:f>IF(A91="","",G91+H91)</x:f>
      </x:c>
      <x:c r="J91" s="22" t="str">
        <x:f>IF(A91="","",((F91-E91)*24)-(I91/60))</x:f>
      </x:c>
      <x:c r="K91" s="22" t="str">
        <x:f>IF(A91="","",MIN(J91,8))</x:f>
      </x:c>
      <x:c r="L91" s="22" t="str">
        <x:f>IF(A91="","",MAX(J91-8,0))</x:f>
      </x:c>
      <x:c r="M91" s="20" t="str">
        <x:f>IF(A91="","",K91*Settings!$B$5)</x:f>
      </x:c>
      <x:c r="N91" s="20" t="str">
        <x:f>IF(A91="","",L91*Settings!$B$6)</x:f>
      </x:c>
      <x:c r="O91" s="22"/>
      <x:c r="P91" s="22"/>
      <x:c r="Q91" s="22" t="str">
        <x:f>IF(A91="","",MAX(O91-Settings!$B$7,0))</x:f>
      </x:c>
      <x:c r="R91" s="20" t="str">
        <x:f>IF(A91="","",Q91*Settings!$B$8)</x:f>
      </x:c>
      <x:c r="S91" s="20" t="str">
        <x:f>IF(A91="","",M91+N91)</x:f>
      </x:c>
      <x:c r="T91" s="20" t="str">
        <x:f>IF(A91="","",S91+R91)</x:f>
      </x:c>
    </x:row>
    <x:row r="92">
      <x:c r="A92" s="26"/>
      <x:c r="B92" s="26" t="str">
        <x:f>IF(A92="","",A92-MOD(WEEKDAY(A92,2)-5,7))</x:f>
      </x:c>
      <x:c r="C92" s="26" t="str">
        <x:f>IF(B92="","",B92+7)</x:f>
      </x:c>
      <x:c r="D92" t="str">
        <x:f>IF(A92="","",TEXT(A92,"dddd"))</x:f>
      </x:c>
      <x:c r="E92" s="24"/>
      <x:c r="F92" s="24"/>
      <x:c r="G92" s="32" t="n">
        <x:f>IF(AND(E92&lt;Settings!$B$11,F92&gt;Settings!$B$11),Settings!$B$12,0)</x:f>
        <x:v>0</x:v>
      </x:c>
      <x:c r="H92" s="32" t="n">
        <x:f>IF(AND(E92&lt;Settings!$B$13,F92&gt;Settings!$B$13),Settings!$B$14,0)</x:f>
        <x:v>0</x:v>
      </x:c>
      <x:c r="I92" s="32" t="str">
        <x:f>IF(A92="","",G92+H92)</x:f>
      </x:c>
      <x:c r="J92" s="22" t="str">
        <x:f>IF(A92="","",((F92-E92)*24)-(I92/60))</x:f>
      </x:c>
      <x:c r="K92" s="22" t="str">
        <x:f>IF(A92="","",MIN(J92,8))</x:f>
      </x:c>
      <x:c r="L92" s="22" t="str">
        <x:f>IF(A92="","",MAX(J92-8,0))</x:f>
      </x:c>
      <x:c r="M92" s="20" t="str">
        <x:f>IF(A92="","",K92*Settings!$B$5)</x:f>
      </x:c>
      <x:c r="N92" s="20" t="str">
        <x:f>IF(A92="","",L92*Settings!$B$6)</x:f>
      </x:c>
      <x:c r="O92" s="22"/>
      <x:c r="P92" s="22"/>
      <x:c r="Q92" s="22" t="str">
        <x:f>IF(A92="","",MAX(O92-Settings!$B$7,0))</x:f>
      </x:c>
      <x:c r="R92" s="20" t="str">
        <x:f>IF(A92="","",Q92*Settings!$B$8)</x:f>
      </x:c>
      <x:c r="S92" s="20" t="str">
        <x:f>IF(A92="","",M92+N92)</x:f>
      </x:c>
      <x:c r="T92" s="20" t="str">
        <x:f>IF(A92="","",S92+R92)</x:f>
      </x:c>
    </x:row>
    <x:row r="93">
      <x:c r="A93" s="26"/>
      <x:c r="B93" s="26" t="str">
        <x:f>IF(A93="","",A93-MOD(WEEKDAY(A93,2)-5,7))</x:f>
      </x:c>
      <x:c r="C93" s="26" t="str">
        <x:f>IF(B93="","",B93+7)</x:f>
      </x:c>
      <x:c r="D93" t="str">
        <x:f>IF(A93="","",TEXT(A93,"dddd"))</x:f>
      </x:c>
      <x:c r="E93" s="24"/>
      <x:c r="F93" s="24"/>
      <x:c r="G93" s="32" t="n">
        <x:f>IF(AND(E93&lt;Settings!$B$11,F93&gt;Settings!$B$11),Settings!$B$12,0)</x:f>
        <x:v>0</x:v>
      </x:c>
      <x:c r="H93" s="32" t="n">
        <x:f>IF(AND(E93&lt;Settings!$B$13,F93&gt;Settings!$B$13),Settings!$B$14,0)</x:f>
        <x:v>0</x:v>
      </x:c>
      <x:c r="I93" s="32" t="str">
        <x:f>IF(A93="","",G93+H93)</x:f>
      </x:c>
      <x:c r="J93" s="22" t="str">
        <x:f>IF(A93="","",((F93-E93)*24)-(I93/60))</x:f>
      </x:c>
      <x:c r="K93" s="22" t="str">
        <x:f>IF(A93="","",MIN(J93,8))</x:f>
      </x:c>
      <x:c r="L93" s="22" t="str">
        <x:f>IF(A93="","",MAX(J93-8,0))</x:f>
      </x:c>
      <x:c r="M93" s="20" t="str">
        <x:f>IF(A93="","",K93*Settings!$B$5)</x:f>
      </x:c>
      <x:c r="N93" s="20" t="str">
        <x:f>IF(A93="","",L93*Settings!$B$6)</x:f>
      </x:c>
      <x:c r="O93" s="22"/>
      <x:c r="P93" s="22"/>
      <x:c r="Q93" s="22" t="str">
        <x:f>IF(A93="","",MAX(O93-Settings!$B$7,0))</x:f>
      </x:c>
      <x:c r="R93" s="20" t="str">
        <x:f>IF(A93="","",Q93*Settings!$B$8)</x:f>
      </x:c>
      <x:c r="S93" s="20" t="str">
        <x:f>IF(A93="","",M93+N93)</x:f>
      </x:c>
      <x:c r="T93" s="20" t="str">
        <x:f>IF(A93="","",S93+R93)</x:f>
      </x:c>
    </x:row>
    <x:row r="94">
      <x:c r="A94" s="26"/>
      <x:c r="B94" s="26" t="str">
        <x:f>IF(A94="","",A94-MOD(WEEKDAY(A94,2)-5,7))</x:f>
      </x:c>
      <x:c r="C94" s="26" t="str">
        <x:f>IF(B94="","",B94+7)</x:f>
      </x:c>
      <x:c r="D94" t="str">
        <x:f>IF(A94="","",TEXT(A94,"dddd"))</x:f>
      </x:c>
      <x:c r="E94" s="24"/>
      <x:c r="F94" s="24"/>
      <x:c r="G94" s="32" t="n">
        <x:f>IF(AND(E94&lt;Settings!$B$11,F94&gt;Settings!$B$11),Settings!$B$12,0)</x:f>
        <x:v>0</x:v>
      </x:c>
      <x:c r="H94" s="32" t="n">
        <x:f>IF(AND(E94&lt;Settings!$B$13,F94&gt;Settings!$B$13),Settings!$B$14,0)</x:f>
        <x:v>0</x:v>
      </x:c>
      <x:c r="I94" s="32" t="str">
        <x:f>IF(A94="","",G94+H94)</x:f>
      </x:c>
      <x:c r="J94" s="22" t="str">
        <x:f>IF(A94="","",((F94-E94)*24)-(I94/60))</x:f>
      </x:c>
      <x:c r="K94" s="22" t="str">
        <x:f>IF(A94="","",MIN(J94,8))</x:f>
      </x:c>
      <x:c r="L94" s="22" t="str">
        <x:f>IF(A94="","",MAX(J94-8,0))</x:f>
      </x:c>
      <x:c r="M94" s="20" t="str">
        <x:f>IF(A94="","",K94*Settings!$B$5)</x:f>
      </x:c>
      <x:c r="N94" s="20" t="str">
        <x:f>IF(A94="","",L94*Settings!$B$6)</x:f>
      </x:c>
      <x:c r="O94" s="22"/>
      <x:c r="P94" s="22"/>
      <x:c r="Q94" s="22" t="str">
        <x:f>IF(A94="","",MAX(O94-Settings!$B$7,0))</x:f>
      </x:c>
      <x:c r="R94" s="20" t="str">
        <x:f>IF(A94="","",Q94*Settings!$B$8)</x:f>
      </x:c>
      <x:c r="S94" s="20" t="str">
        <x:f>IF(A94="","",M94+N94)</x:f>
      </x:c>
      <x:c r="T94" s="20" t="str">
        <x:f>IF(A94="","",S94+R94)</x:f>
      </x:c>
    </x:row>
    <x:row r="95">
      <x:c r="A95" s="26"/>
      <x:c r="B95" s="26" t="str">
        <x:f>IF(A95="","",A95-MOD(WEEKDAY(A95,2)-5,7))</x:f>
      </x:c>
      <x:c r="C95" s="26" t="str">
        <x:f>IF(B95="","",B95+7)</x:f>
      </x:c>
      <x:c r="D95" t="str">
        <x:f>IF(A95="","",TEXT(A95,"dddd"))</x:f>
      </x:c>
      <x:c r="E95" s="24"/>
      <x:c r="F95" s="24"/>
      <x:c r="G95" s="32" t="n">
        <x:f>IF(AND(E95&lt;Settings!$B$11,F95&gt;Settings!$B$11),Settings!$B$12,0)</x:f>
        <x:v>0</x:v>
      </x:c>
      <x:c r="H95" s="32" t="n">
        <x:f>IF(AND(E95&lt;Settings!$B$13,F95&gt;Settings!$B$13),Settings!$B$14,0)</x:f>
        <x:v>0</x:v>
      </x:c>
      <x:c r="I95" s="32" t="str">
        <x:f>IF(A95="","",G95+H95)</x:f>
      </x:c>
      <x:c r="J95" s="22" t="str">
        <x:f>IF(A95="","",((F95-E95)*24)-(I95/60))</x:f>
      </x:c>
      <x:c r="K95" s="22" t="str">
        <x:f>IF(A95="","",MIN(J95,8))</x:f>
      </x:c>
      <x:c r="L95" s="22" t="str">
        <x:f>IF(A95="","",MAX(J95-8,0))</x:f>
      </x:c>
      <x:c r="M95" s="20" t="str">
        <x:f>IF(A95="","",K95*Settings!$B$5)</x:f>
      </x:c>
      <x:c r="N95" s="20" t="str">
        <x:f>IF(A95="","",L95*Settings!$B$6)</x:f>
      </x:c>
      <x:c r="O95" s="22"/>
      <x:c r="P95" s="22"/>
      <x:c r="Q95" s="22" t="str">
        <x:f>IF(A95="","",MAX(O95-Settings!$B$7,0))</x:f>
      </x:c>
      <x:c r="R95" s="20" t="str">
        <x:f>IF(A95="","",Q95*Settings!$B$8)</x:f>
      </x:c>
      <x:c r="S95" s="20" t="str">
        <x:f>IF(A95="","",M95+N95)</x:f>
      </x:c>
      <x:c r="T95" s="20" t="str">
        <x:f>IF(A95="","",S95+R95)</x:f>
      </x:c>
    </x:row>
    <x:row r="96">
      <x:c r="A96" s="26"/>
      <x:c r="B96" s="26" t="str">
        <x:f>IF(A96="","",A96-MOD(WEEKDAY(A96,2)-5,7))</x:f>
      </x:c>
      <x:c r="C96" s="26" t="str">
        <x:f>IF(B96="","",B96+7)</x:f>
      </x:c>
      <x:c r="D96" t="str">
        <x:f>IF(A96="","",TEXT(A96,"dddd"))</x:f>
      </x:c>
      <x:c r="E96" s="24"/>
      <x:c r="F96" s="24"/>
      <x:c r="G96" s="32" t="n">
        <x:f>IF(AND(E96&lt;Settings!$B$11,F96&gt;Settings!$B$11),Settings!$B$12,0)</x:f>
        <x:v>0</x:v>
      </x:c>
      <x:c r="H96" s="32" t="n">
        <x:f>IF(AND(E96&lt;Settings!$B$13,F96&gt;Settings!$B$13),Settings!$B$14,0)</x:f>
        <x:v>0</x:v>
      </x:c>
      <x:c r="I96" s="32" t="str">
        <x:f>IF(A96="","",G96+H96)</x:f>
      </x:c>
      <x:c r="J96" s="22" t="str">
        <x:f>IF(A96="","",((F96-E96)*24)-(I96/60))</x:f>
      </x:c>
      <x:c r="K96" s="22" t="str">
        <x:f>IF(A96="","",MIN(J96,8))</x:f>
      </x:c>
      <x:c r="L96" s="22" t="str">
        <x:f>IF(A96="","",MAX(J96-8,0))</x:f>
      </x:c>
      <x:c r="M96" s="20" t="str">
        <x:f>IF(A96="","",K96*Settings!$B$5)</x:f>
      </x:c>
      <x:c r="N96" s="20" t="str">
        <x:f>IF(A96="","",L96*Settings!$B$6)</x:f>
      </x:c>
      <x:c r="O96" s="22"/>
      <x:c r="P96" s="22"/>
      <x:c r="Q96" s="22" t="str">
        <x:f>IF(A96="","",MAX(O96-Settings!$B$7,0))</x:f>
      </x:c>
      <x:c r="R96" s="20" t="str">
        <x:f>IF(A96="","",Q96*Settings!$B$8)</x:f>
      </x:c>
      <x:c r="S96" s="20" t="str">
        <x:f>IF(A96="","",M96+N96)</x:f>
      </x:c>
      <x:c r="T96" s="20" t="str">
        <x:f>IF(A96="","",S96+R96)</x:f>
      </x:c>
    </x:row>
    <x:row r="97">
      <x:c r="A97" s="26"/>
      <x:c r="B97" s="26" t="str">
        <x:f>IF(A97="","",A97-MOD(WEEKDAY(A97,2)-5,7))</x:f>
      </x:c>
      <x:c r="C97" s="26" t="str">
        <x:f>IF(B97="","",B97+7)</x:f>
      </x:c>
      <x:c r="D97" t="str">
        <x:f>IF(A97="","",TEXT(A97,"dddd"))</x:f>
      </x:c>
      <x:c r="E97" s="24"/>
      <x:c r="F97" s="24"/>
      <x:c r="G97" s="32" t="n">
        <x:f>IF(AND(E97&lt;Settings!$B$11,F97&gt;Settings!$B$11),Settings!$B$12,0)</x:f>
        <x:v>0</x:v>
      </x:c>
      <x:c r="H97" s="32" t="n">
        <x:f>IF(AND(E97&lt;Settings!$B$13,F97&gt;Settings!$B$13),Settings!$B$14,0)</x:f>
        <x:v>0</x:v>
      </x:c>
      <x:c r="I97" s="32" t="str">
        <x:f>IF(A97="","",G97+H97)</x:f>
      </x:c>
      <x:c r="J97" s="22" t="str">
        <x:f>IF(A97="","",((F97-E97)*24)-(I97/60))</x:f>
      </x:c>
      <x:c r="K97" s="22" t="str">
        <x:f>IF(A97="","",MIN(J97,8))</x:f>
      </x:c>
      <x:c r="L97" s="22" t="str">
        <x:f>IF(A97="","",MAX(J97-8,0))</x:f>
      </x:c>
      <x:c r="M97" s="20" t="str">
        <x:f>IF(A97="","",K97*Settings!$B$5)</x:f>
      </x:c>
      <x:c r="N97" s="20" t="str">
        <x:f>IF(A97="","",L97*Settings!$B$6)</x:f>
      </x:c>
      <x:c r="O97" s="22"/>
      <x:c r="P97" s="22"/>
      <x:c r="Q97" s="22" t="str">
        <x:f>IF(A97="","",MAX(O97-Settings!$B$7,0))</x:f>
      </x:c>
      <x:c r="R97" s="20" t="str">
        <x:f>IF(A97="","",Q97*Settings!$B$8)</x:f>
      </x:c>
      <x:c r="S97" s="20" t="str">
        <x:f>IF(A97="","",M97+N97)</x:f>
      </x:c>
      <x:c r="T97" s="20" t="str">
        <x:f>IF(A97="","",S97+R97)</x:f>
      </x:c>
    </x:row>
    <x:row r="98">
      <x:c r="A98" s="26"/>
      <x:c r="B98" s="26" t="str">
        <x:f>IF(A98="","",A98-MOD(WEEKDAY(A98,2)-5,7))</x:f>
      </x:c>
      <x:c r="C98" s="26" t="str">
        <x:f>IF(B98="","",B98+7)</x:f>
      </x:c>
      <x:c r="D98" t="str">
        <x:f>IF(A98="","",TEXT(A98,"dddd"))</x:f>
      </x:c>
      <x:c r="E98" s="24"/>
      <x:c r="F98" s="24"/>
      <x:c r="G98" s="32" t="n">
        <x:f>IF(AND(E98&lt;Settings!$B$11,F98&gt;Settings!$B$11),Settings!$B$12,0)</x:f>
        <x:v>0</x:v>
      </x:c>
      <x:c r="H98" s="32" t="n">
        <x:f>IF(AND(E98&lt;Settings!$B$13,F98&gt;Settings!$B$13),Settings!$B$14,0)</x:f>
        <x:v>0</x:v>
      </x:c>
      <x:c r="I98" s="32" t="str">
        <x:f>IF(A98="","",G98+H98)</x:f>
      </x:c>
      <x:c r="J98" s="22" t="str">
        <x:f>IF(A98="","",((F98-E98)*24)-(I98/60))</x:f>
      </x:c>
      <x:c r="K98" s="22" t="str">
        <x:f>IF(A98="","",MIN(J98,8))</x:f>
      </x:c>
      <x:c r="L98" s="22" t="str">
        <x:f>IF(A98="","",MAX(J98-8,0))</x:f>
      </x:c>
      <x:c r="M98" s="20" t="str">
        <x:f>IF(A98="","",K98*Settings!$B$5)</x:f>
      </x:c>
      <x:c r="N98" s="20" t="str">
        <x:f>IF(A98="","",L98*Settings!$B$6)</x:f>
      </x:c>
      <x:c r="O98" s="22"/>
      <x:c r="P98" s="22"/>
      <x:c r="Q98" s="22" t="str">
        <x:f>IF(A98="","",MAX(O98-Settings!$B$7,0))</x:f>
      </x:c>
      <x:c r="R98" s="20" t="str">
        <x:f>IF(A98="","",Q98*Settings!$B$8)</x:f>
      </x:c>
      <x:c r="S98" s="20" t="str">
        <x:f>IF(A98="","",M98+N98)</x:f>
      </x:c>
      <x:c r="T98" s="20" t="str">
        <x:f>IF(A98="","",S98+R98)</x:f>
      </x:c>
    </x:row>
    <x:row r="99">
      <x:c r="A99" s="26"/>
      <x:c r="B99" s="26" t="str">
        <x:f>IF(A99="","",A99-MOD(WEEKDAY(A99,2)-5,7))</x:f>
      </x:c>
      <x:c r="C99" s="26" t="str">
        <x:f>IF(B99="","",B99+7)</x:f>
      </x:c>
      <x:c r="D99" t="str">
        <x:f>IF(A99="","",TEXT(A99,"dddd"))</x:f>
      </x:c>
      <x:c r="E99" s="24"/>
      <x:c r="F99" s="24"/>
      <x:c r="G99" s="32" t="n">
        <x:f>IF(AND(E99&lt;Settings!$B$11,F99&gt;Settings!$B$11),Settings!$B$12,0)</x:f>
        <x:v>0</x:v>
      </x:c>
      <x:c r="H99" s="32" t="n">
        <x:f>IF(AND(E99&lt;Settings!$B$13,F99&gt;Settings!$B$13),Settings!$B$14,0)</x:f>
        <x:v>0</x:v>
      </x:c>
      <x:c r="I99" s="32" t="str">
        <x:f>IF(A99="","",G99+H99)</x:f>
      </x:c>
      <x:c r="J99" s="22" t="str">
        <x:f>IF(A99="","",((F99-E99)*24)-(I99/60))</x:f>
      </x:c>
      <x:c r="K99" s="22" t="str">
        <x:f>IF(A99="","",MIN(J99,8))</x:f>
      </x:c>
      <x:c r="L99" s="22" t="str">
        <x:f>IF(A99="","",MAX(J99-8,0))</x:f>
      </x:c>
      <x:c r="M99" s="20" t="str">
        <x:f>IF(A99="","",K99*Settings!$B$5)</x:f>
      </x:c>
      <x:c r="N99" s="20" t="str">
        <x:f>IF(A99="","",L99*Settings!$B$6)</x:f>
      </x:c>
      <x:c r="O99" s="22"/>
      <x:c r="P99" s="22"/>
      <x:c r="Q99" s="22" t="str">
        <x:f>IF(A99="","",MAX(O99-Settings!$B$7,0))</x:f>
      </x:c>
      <x:c r="R99" s="20" t="str">
        <x:f>IF(A99="","",Q99*Settings!$B$8)</x:f>
      </x:c>
      <x:c r="S99" s="20" t="str">
        <x:f>IF(A99="","",M99+N99)</x:f>
      </x:c>
      <x:c r="T99" s="20" t="str">
        <x:f>IF(A99="","",S99+R99)</x:f>
      </x:c>
    </x:row>
    <x:row r="100">
      <x:c r="A100" s="26"/>
      <x:c r="B100" s="26" t="str">
        <x:f>IF(A100="","",A100-MOD(WEEKDAY(A100,2)-5,7))</x:f>
      </x:c>
      <x:c r="C100" s="26" t="str">
        <x:f>IF(B100="","",B100+7)</x:f>
      </x:c>
      <x:c r="D100" t="str">
        <x:f>IF(A100="","",TEXT(A100,"dddd"))</x:f>
      </x:c>
      <x:c r="E100" s="24"/>
      <x:c r="F100" s="24"/>
      <x:c r="G100" s="32" t="n">
        <x:f>IF(AND(E100&lt;Settings!$B$11,F100&gt;Settings!$B$11),Settings!$B$12,0)</x:f>
        <x:v>0</x:v>
      </x:c>
      <x:c r="H100" s="32" t="n">
        <x:f>IF(AND(E100&lt;Settings!$B$13,F100&gt;Settings!$B$13),Settings!$B$14,0)</x:f>
        <x:v>0</x:v>
      </x:c>
      <x:c r="I100" s="32" t="str">
        <x:f>IF(A100="","",G100+H100)</x:f>
      </x:c>
      <x:c r="J100" s="22" t="str">
        <x:f>IF(A100="","",((F100-E100)*24)-(I100/60))</x:f>
      </x:c>
      <x:c r="K100" s="22" t="str">
        <x:f>IF(A100="","",MIN(J100,8))</x:f>
      </x:c>
      <x:c r="L100" s="22" t="str">
        <x:f>IF(A100="","",MAX(J100-8,0))</x:f>
      </x:c>
      <x:c r="M100" s="20" t="str">
        <x:f>IF(A100="","",K100*Settings!$B$5)</x:f>
      </x:c>
      <x:c r="N100" s="20" t="str">
        <x:f>IF(A100="","",L100*Settings!$B$6)</x:f>
      </x:c>
      <x:c r="O100" s="22"/>
      <x:c r="P100" s="22"/>
      <x:c r="Q100" s="22" t="str">
        <x:f>IF(A100="","",MAX(O100-Settings!$B$7,0))</x:f>
      </x:c>
      <x:c r="R100" s="20" t="str">
        <x:f>IF(A100="","",Q100*Settings!$B$8)</x:f>
      </x:c>
      <x:c r="S100" s="20" t="str">
        <x:f>IF(A100="","",M100+N100)</x:f>
      </x:c>
      <x:c r="T100" s="20" t="str">
        <x:f>IF(A100="","",S100+R100)</x:f>
      </x:c>
    </x:row>
    <x:row r="101">
      <x:c r="A101" s="26"/>
      <x:c r="B101" s="26" t="str">
        <x:f>IF(A101="","",A101-MOD(WEEKDAY(A101,2)-5,7))</x:f>
      </x:c>
      <x:c r="C101" s="26" t="str">
        <x:f>IF(B101="","",B101+7)</x:f>
      </x:c>
      <x:c r="D101" t="str">
        <x:f>IF(A101="","",TEXT(A101,"dddd"))</x:f>
      </x:c>
      <x:c r="E101" s="24"/>
      <x:c r="F101" s="24"/>
      <x:c r="G101" s="32" t="n">
        <x:f>IF(AND(E101&lt;Settings!$B$11,F101&gt;Settings!$B$11),Settings!$B$12,0)</x:f>
        <x:v>0</x:v>
      </x:c>
      <x:c r="H101" s="32" t="n">
        <x:f>IF(AND(E101&lt;Settings!$B$13,F101&gt;Settings!$B$13),Settings!$B$14,0)</x:f>
        <x:v>0</x:v>
      </x:c>
      <x:c r="I101" s="32" t="str">
        <x:f>IF(A101="","",G101+H101)</x:f>
      </x:c>
      <x:c r="J101" s="22" t="str">
        <x:f>IF(A101="","",((F101-E101)*24)-(I101/60))</x:f>
      </x:c>
      <x:c r="K101" s="22" t="str">
        <x:f>IF(A101="","",MIN(J101,8))</x:f>
      </x:c>
      <x:c r="L101" s="22" t="str">
        <x:f>IF(A101="","",MAX(J101-8,0))</x:f>
      </x:c>
      <x:c r="M101" s="20" t="str">
        <x:f>IF(A101="","",K101*Settings!$B$5)</x:f>
      </x:c>
      <x:c r="N101" s="20" t="str">
        <x:f>IF(A101="","",L101*Settings!$B$6)</x:f>
      </x:c>
      <x:c r="O101" s="22"/>
      <x:c r="P101" s="22"/>
      <x:c r="Q101" s="22" t="str">
        <x:f>IF(A101="","",MAX(O101-Settings!$B$7,0))</x:f>
      </x:c>
      <x:c r="R101" s="20" t="str">
        <x:f>IF(A101="","",Q101*Settings!$B$8)</x:f>
      </x:c>
      <x:c r="S101" s="20" t="str">
        <x:f>IF(A101="","",M101+N101)</x:f>
      </x:c>
      <x:c r="T101" s="20" t="str">
        <x:f>IF(A101="","",S101+R101)</x:f>
      </x:c>
    </x:row>
    <x:row r="102">
      <x:c r="A102" s="26"/>
      <x:c r="B102" s="26" t="str">
        <x:f>IF(A102="","",A102-MOD(WEEKDAY(A102,2)-5,7))</x:f>
      </x:c>
      <x:c r="C102" s="26" t="str">
        <x:f>IF(B102="","",B102+7)</x:f>
      </x:c>
      <x:c r="D102" t="str">
        <x:f>IF(A102="","",TEXT(A102,"dddd"))</x:f>
      </x:c>
      <x:c r="E102" s="24"/>
      <x:c r="F102" s="24"/>
      <x:c r="G102" s="32" t="n">
        <x:f>IF(AND(E102&lt;Settings!$B$11,F102&gt;Settings!$B$11),Settings!$B$12,0)</x:f>
        <x:v>0</x:v>
      </x:c>
      <x:c r="H102" s="32" t="n">
        <x:f>IF(AND(E102&lt;Settings!$B$13,F102&gt;Settings!$B$13),Settings!$B$14,0)</x:f>
        <x:v>0</x:v>
      </x:c>
      <x:c r="I102" s="32" t="str">
        <x:f>IF(A102="","",G102+H102)</x:f>
      </x:c>
      <x:c r="J102" s="22" t="str">
        <x:f>IF(A102="","",((F102-E102)*24)-(I102/60))</x:f>
      </x:c>
      <x:c r="K102" s="22" t="str">
        <x:f>IF(A102="","",MIN(J102,8))</x:f>
      </x:c>
      <x:c r="L102" s="22" t="str">
        <x:f>IF(A102="","",MAX(J102-8,0))</x:f>
      </x:c>
      <x:c r="M102" s="20" t="str">
        <x:f>IF(A102="","",K102*Settings!$B$5)</x:f>
      </x:c>
      <x:c r="N102" s="20" t="str">
        <x:f>IF(A102="","",L102*Settings!$B$6)</x:f>
      </x:c>
      <x:c r="O102" s="22"/>
      <x:c r="P102" s="22"/>
      <x:c r="Q102" s="22" t="str">
        <x:f>IF(A102="","",MAX(O102-Settings!$B$7,0))</x:f>
      </x:c>
      <x:c r="R102" s="20" t="str">
        <x:f>IF(A102="","",Q102*Settings!$B$8)</x:f>
      </x:c>
      <x:c r="S102" s="20" t="str">
        <x:f>IF(A102="","",M102+N102)</x:f>
      </x:c>
      <x:c r="T102" s="20" t="str">
        <x:f>IF(A102="","",S102+R102)</x:f>
      </x:c>
    </x:row>
    <x:row r="103">
      <x:c r="A103" s="26"/>
      <x:c r="B103" s="26" t="str">
        <x:f>IF(A103="","",A103-MOD(WEEKDAY(A103,2)-5,7))</x:f>
      </x:c>
      <x:c r="C103" s="26" t="str">
        <x:f>IF(B103="","",B103+7)</x:f>
      </x:c>
      <x:c r="D103" t="str">
        <x:f>IF(A103="","",TEXT(A103,"dddd"))</x:f>
      </x:c>
      <x:c r="E103" s="24"/>
      <x:c r="F103" s="24"/>
      <x:c r="G103" s="32" t="n">
        <x:f>IF(AND(E103&lt;Settings!$B$11,F103&gt;Settings!$B$11),Settings!$B$12,0)</x:f>
        <x:v>0</x:v>
      </x:c>
      <x:c r="H103" s="32" t="n">
        <x:f>IF(AND(E103&lt;Settings!$B$13,F103&gt;Settings!$B$13),Settings!$B$14,0)</x:f>
        <x:v>0</x:v>
      </x:c>
      <x:c r="I103" s="32" t="str">
        <x:f>IF(A103="","",G103+H103)</x:f>
      </x:c>
      <x:c r="J103" s="22" t="str">
        <x:f>IF(A103="","",((F103-E103)*24)-(I103/60))</x:f>
      </x:c>
      <x:c r="K103" s="22" t="str">
        <x:f>IF(A103="","",MIN(J103,8))</x:f>
      </x:c>
      <x:c r="L103" s="22" t="str">
        <x:f>IF(A103="","",MAX(J103-8,0))</x:f>
      </x:c>
      <x:c r="M103" s="20" t="str">
        <x:f>IF(A103="","",K103*Settings!$B$5)</x:f>
      </x:c>
      <x:c r="N103" s="20" t="str">
        <x:f>IF(A103="","",L103*Settings!$B$6)</x:f>
      </x:c>
      <x:c r="O103" s="22"/>
      <x:c r="P103" s="22"/>
      <x:c r="Q103" s="22" t="str">
        <x:f>IF(A103="","",MAX(O103-Settings!$B$7,0))</x:f>
      </x:c>
      <x:c r="R103" s="20" t="str">
        <x:f>IF(A103="","",Q103*Settings!$B$8)</x:f>
      </x:c>
      <x:c r="S103" s="20" t="str">
        <x:f>IF(A103="","",M103+N103)</x:f>
      </x:c>
      <x:c r="T103" s="20" t="str">
        <x:f>IF(A103="","",S103+R103)</x:f>
      </x:c>
    </x:row>
    <x:row r="104">
      <x:c r="A104" s="26"/>
      <x:c r="B104" s="26" t="str">
        <x:f>IF(A104="","",A104-MOD(WEEKDAY(A104,2)-5,7))</x:f>
      </x:c>
      <x:c r="C104" s="26" t="str">
        <x:f>IF(B104="","",B104+7)</x:f>
      </x:c>
      <x:c r="D104" t="str">
        <x:f>IF(A104="","",TEXT(A104,"dddd"))</x:f>
      </x:c>
      <x:c r="E104" s="24"/>
      <x:c r="F104" s="24"/>
      <x:c r="G104" s="32" t="n">
        <x:f>IF(AND(E104&lt;Settings!$B$11,F104&gt;Settings!$B$11),Settings!$B$12,0)</x:f>
        <x:v>0</x:v>
      </x:c>
      <x:c r="H104" s="32" t="n">
        <x:f>IF(AND(E104&lt;Settings!$B$13,F104&gt;Settings!$B$13),Settings!$B$14,0)</x:f>
        <x:v>0</x:v>
      </x:c>
      <x:c r="I104" s="32" t="str">
        <x:f>IF(A104="","",G104+H104)</x:f>
      </x:c>
      <x:c r="J104" s="22" t="str">
        <x:f>IF(A104="","",((F104-E104)*24)-(I104/60))</x:f>
      </x:c>
      <x:c r="K104" s="22" t="str">
        <x:f>IF(A104="","",MIN(J104,8))</x:f>
      </x:c>
      <x:c r="L104" s="22" t="str">
        <x:f>IF(A104="","",MAX(J104-8,0))</x:f>
      </x:c>
      <x:c r="M104" s="20" t="str">
        <x:f>IF(A104="","",K104*Settings!$B$5)</x:f>
      </x:c>
      <x:c r="N104" s="20" t="str">
        <x:f>IF(A104="","",L104*Settings!$B$6)</x:f>
      </x:c>
      <x:c r="O104" s="22"/>
      <x:c r="P104" s="22"/>
      <x:c r="Q104" s="22" t="str">
        <x:f>IF(A104="","",MAX(O104-Settings!$B$7,0))</x:f>
      </x:c>
      <x:c r="R104" s="20" t="str">
        <x:f>IF(A104="","",Q104*Settings!$B$8)</x:f>
      </x:c>
      <x:c r="S104" s="20" t="str">
        <x:f>IF(A104="","",M104+N104)</x:f>
      </x:c>
      <x:c r="T104" s="20" t="str">
        <x:f>IF(A104="","",S104+R104)</x:f>
      </x:c>
    </x:row>
    <x:row r="105">
      <x:c r="A105" s="26"/>
      <x:c r="B105" s="26" t="str">
        <x:f>IF(A105="","",A105-MOD(WEEKDAY(A105,2)-5,7))</x:f>
      </x:c>
      <x:c r="C105" s="26" t="str">
        <x:f>IF(B105="","",B105+7)</x:f>
      </x:c>
      <x:c r="D105" t="str">
        <x:f>IF(A105="","",TEXT(A105,"dddd"))</x:f>
      </x:c>
      <x:c r="E105" s="24"/>
      <x:c r="F105" s="24"/>
      <x:c r="G105" s="32" t="n">
        <x:f>IF(AND(E105&lt;Settings!$B$11,F105&gt;Settings!$B$11),Settings!$B$12,0)</x:f>
        <x:v>0</x:v>
      </x:c>
      <x:c r="H105" s="32" t="n">
        <x:f>IF(AND(E105&lt;Settings!$B$13,F105&gt;Settings!$B$13),Settings!$B$14,0)</x:f>
        <x:v>0</x:v>
      </x:c>
      <x:c r="I105" s="32" t="str">
        <x:f>IF(A105="","",G105+H105)</x:f>
      </x:c>
      <x:c r="J105" s="22" t="str">
        <x:f>IF(A105="","",((F105-E105)*24)-(I105/60))</x:f>
      </x:c>
      <x:c r="K105" s="22" t="str">
        <x:f>IF(A105="","",MIN(J105,8))</x:f>
      </x:c>
      <x:c r="L105" s="22" t="str">
        <x:f>IF(A105="","",MAX(J105-8,0))</x:f>
      </x:c>
      <x:c r="M105" s="20" t="str">
        <x:f>IF(A105="","",K105*Settings!$B$5)</x:f>
      </x:c>
      <x:c r="N105" s="20" t="str">
        <x:f>IF(A105="","",L105*Settings!$B$6)</x:f>
      </x:c>
      <x:c r="O105" s="22"/>
      <x:c r="P105" s="22"/>
      <x:c r="Q105" s="22" t="str">
        <x:f>IF(A105="","",MAX(O105-Settings!$B$7,0))</x:f>
      </x:c>
      <x:c r="R105" s="20" t="str">
        <x:f>IF(A105="","",Q105*Settings!$B$8)</x:f>
      </x:c>
      <x:c r="S105" s="20" t="str">
        <x:f>IF(A105="","",M105+N105)</x:f>
      </x:c>
      <x:c r="T105" s="20" t="str">
        <x:f>IF(A105="","",S105+R105)</x:f>
      </x:c>
    </x:row>
    <x:row r="106">
      <x:c r="A106" s="26"/>
      <x:c r="B106" s="26" t="str">
        <x:f>IF(A106="","",A106-MOD(WEEKDAY(A106,2)-5,7))</x:f>
      </x:c>
      <x:c r="C106" s="26" t="str">
        <x:f>IF(B106="","",B106+7)</x:f>
      </x:c>
      <x:c r="D106" t="str">
        <x:f>IF(A106="","",TEXT(A106,"dddd"))</x:f>
      </x:c>
      <x:c r="E106" s="24"/>
      <x:c r="F106" s="24"/>
      <x:c r="G106" s="32" t="n">
        <x:f>IF(AND(E106&lt;Settings!$B$11,F106&gt;Settings!$B$11),Settings!$B$12,0)</x:f>
        <x:v>0</x:v>
      </x:c>
      <x:c r="H106" s="32" t="n">
        <x:f>IF(AND(E106&lt;Settings!$B$13,F106&gt;Settings!$B$13),Settings!$B$14,0)</x:f>
        <x:v>0</x:v>
      </x:c>
      <x:c r="I106" s="32" t="str">
        <x:f>IF(A106="","",G106+H106)</x:f>
      </x:c>
      <x:c r="J106" s="22" t="str">
        <x:f>IF(A106="","",((F106-E106)*24)-(I106/60))</x:f>
      </x:c>
      <x:c r="K106" s="22" t="str">
        <x:f>IF(A106="","",MIN(J106,8))</x:f>
      </x:c>
      <x:c r="L106" s="22" t="str">
        <x:f>IF(A106="","",MAX(J106-8,0))</x:f>
      </x:c>
      <x:c r="M106" s="20" t="str">
        <x:f>IF(A106="","",K106*Settings!$B$5)</x:f>
      </x:c>
      <x:c r="N106" s="20" t="str">
        <x:f>IF(A106="","",L106*Settings!$B$6)</x:f>
      </x:c>
      <x:c r="O106" s="22"/>
      <x:c r="P106" s="22"/>
      <x:c r="Q106" s="22" t="str">
        <x:f>IF(A106="","",MAX(O106-Settings!$B$7,0))</x:f>
      </x:c>
      <x:c r="R106" s="20" t="str">
        <x:f>IF(A106="","",Q106*Settings!$B$8)</x:f>
      </x:c>
      <x:c r="S106" s="20" t="str">
        <x:f>IF(A106="","",M106+N106)</x:f>
      </x:c>
      <x:c r="T106" s="20" t="str">
        <x:f>IF(A106="","",S106+R106)</x:f>
      </x:c>
    </x:row>
    <x:row r="107">
      <x:c r="A107" s="26"/>
      <x:c r="B107" s="26" t="str">
        <x:f>IF(A107="","",A107-MOD(WEEKDAY(A107,2)-5,7))</x:f>
      </x:c>
      <x:c r="C107" s="26" t="str">
        <x:f>IF(B107="","",B107+7)</x:f>
      </x:c>
      <x:c r="D107" t="str">
        <x:f>IF(A107="","",TEXT(A107,"dddd"))</x:f>
      </x:c>
      <x:c r="E107" s="24"/>
      <x:c r="F107" s="24"/>
      <x:c r="G107" s="32" t="n">
        <x:f>IF(AND(E107&lt;Settings!$B$11,F107&gt;Settings!$B$11),Settings!$B$12,0)</x:f>
        <x:v>0</x:v>
      </x:c>
      <x:c r="H107" s="32" t="n">
        <x:f>IF(AND(E107&lt;Settings!$B$13,F107&gt;Settings!$B$13),Settings!$B$14,0)</x:f>
        <x:v>0</x:v>
      </x:c>
      <x:c r="I107" s="32" t="str">
        <x:f>IF(A107="","",G107+H107)</x:f>
      </x:c>
      <x:c r="J107" s="22" t="str">
        <x:f>IF(A107="","",((F107-E107)*24)-(I107/60))</x:f>
      </x:c>
      <x:c r="K107" s="22" t="str">
        <x:f>IF(A107="","",MIN(J107,8))</x:f>
      </x:c>
      <x:c r="L107" s="22" t="str">
        <x:f>IF(A107="","",MAX(J107-8,0))</x:f>
      </x:c>
      <x:c r="M107" s="20" t="str">
        <x:f>IF(A107="","",K107*Settings!$B$5)</x:f>
      </x:c>
      <x:c r="N107" s="20" t="str">
        <x:f>IF(A107="","",L107*Settings!$B$6)</x:f>
      </x:c>
      <x:c r="O107" s="22"/>
      <x:c r="P107" s="22"/>
      <x:c r="Q107" s="22" t="str">
        <x:f>IF(A107="","",MAX(O107-Settings!$B$7,0))</x:f>
      </x:c>
      <x:c r="R107" s="20" t="str">
        <x:f>IF(A107="","",Q107*Settings!$B$8)</x:f>
      </x:c>
      <x:c r="S107" s="20" t="str">
        <x:f>IF(A107="","",M107+N107)</x:f>
      </x:c>
      <x:c r="T107" s="20" t="str">
        <x:f>IF(A107="","",S107+R107)</x:f>
      </x:c>
    </x:row>
    <x:row r="108">
      <x:c r="A108" s="26"/>
      <x:c r="B108" s="26" t="str">
        <x:f>IF(A108="","",A108-MOD(WEEKDAY(A108,2)-5,7))</x:f>
      </x:c>
      <x:c r="C108" s="26" t="str">
        <x:f>IF(B108="","",B108+7)</x:f>
      </x:c>
      <x:c r="D108" t="str">
        <x:f>IF(A108="","",TEXT(A108,"dddd"))</x:f>
      </x:c>
      <x:c r="E108" s="24"/>
      <x:c r="F108" s="24"/>
      <x:c r="G108" s="32" t="n">
        <x:f>IF(AND(E108&lt;Settings!$B$11,F108&gt;Settings!$B$11),Settings!$B$12,0)</x:f>
        <x:v>0</x:v>
      </x:c>
      <x:c r="H108" s="32" t="n">
        <x:f>IF(AND(E108&lt;Settings!$B$13,F108&gt;Settings!$B$13),Settings!$B$14,0)</x:f>
        <x:v>0</x:v>
      </x:c>
      <x:c r="I108" s="32" t="str">
        <x:f>IF(A108="","",G108+H108)</x:f>
      </x:c>
      <x:c r="J108" s="22" t="str">
        <x:f>IF(A108="","",((F108-E108)*24)-(I108/60))</x:f>
      </x:c>
      <x:c r="K108" s="22" t="str">
        <x:f>IF(A108="","",MIN(J108,8))</x:f>
      </x:c>
      <x:c r="L108" s="22" t="str">
        <x:f>IF(A108="","",MAX(J108-8,0))</x:f>
      </x:c>
      <x:c r="M108" s="20" t="str">
        <x:f>IF(A108="","",K108*Settings!$B$5)</x:f>
      </x:c>
      <x:c r="N108" s="20" t="str">
        <x:f>IF(A108="","",L108*Settings!$B$6)</x:f>
      </x:c>
      <x:c r="O108" s="22"/>
      <x:c r="P108" s="22"/>
      <x:c r="Q108" s="22" t="str">
        <x:f>IF(A108="","",MAX(O108-Settings!$B$7,0))</x:f>
      </x:c>
      <x:c r="R108" s="20" t="str">
        <x:f>IF(A108="","",Q108*Settings!$B$8)</x:f>
      </x:c>
      <x:c r="S108" s="20" t="str">
        <x:f>IF(A108="","",M108+N108)</x:f>
      </x:c>
      <x:c r="T108" s="20" t="str">
        <x:f>IF(A108="","",S108+R108)</x:f>
      </x:c>
    </x:row>
    <x:row r="109">
      <x:c r="A109" s="26"/>
      <x:c r="B109" s="26" t="str">
        <x:f>IF(A109="","",A109-MOD(WEEKDAY(A109,2)-5,7))</x:f>
      </x:c>
      <x:c r="C109" s="26" t="str">
        <x:f>IF(B109="","",B109+7)</x:f>
      </x:c>
      <x:c r="D109" t="str">
        <x:f>IF(A109="","",TEXT(A109,"dddd"))</x:f>
      </x:c>
      <x:c r="E109" s="24"/>
      <x:c r="F109" s="24"/>
      <x:c r="G109" s="32" t="n">
        <x:f>IF(AND(E109&lt;Settings!$B$11,F109&gt;Settings!$B$11),Settings!$B$12,0)</x:f>
        <x:v>0</x:v>
      </x:c>
      <x:c r="H109" s="32" t="n">
        <x:f>IF(AND(E109&lt;Settings!$B$13,F109&gt;Settings!$B$13),Settings!$B$14,0)</x:f>
        <x:v>0</x:v>
      </x:c>
      <x:c r="I109" s="32" t="str">
        <x:f>IF(A109="","",G109+H109)</x:f>
      </x:c>
      <x:c r="J109" s="22" t="str">
        <x:f>IF(A109="","",((F109-E109)*24)-(I109/60))</x:f>
      </x:c>
      <x:c r="K109" s="22" t="str">
        <x:f>IF(A109="","",MIN(J109,8))</x:f>
      </x:c>
      <x:c r="L109" s="22" t="str">
        <x:f>IF(A109="","",MAX(J109-8,0))</x:f>
      </x:c>
      <x:c r="M109" s="20" t="str">
        <x:f>IF(A109="","",K109*Settings!$B$5)</x:f>
      </x:c>
      <x:c r="N109" s="20" t="str">
        <x:f>IF(A109="","",L109*Settings!$B$6)</x:f>
      </x:c>
      <x:c r="O109" s="22"/>
      <x:c r="P109" s="22"/>
      <x:c r="Q109" s="22" t="str">
        <x:f>IF(A109="","",MAX(O109-Settings!$B$7,0))</x:f>
      </x:c>
      <x:c r="R109" s="20" t="str">
        <x:f>IF(A109="","",Q109*Settings!$B$8)</x:f>
      </x:c>
      <x:c r="S109" s="20" t="str">
        <x:f>IF(A109="","",M109+N109)</x:f>
      </x:c>
      <x:c r="T109" s="20" t="str">
        <x:f>IF(A109="","",S109+R109)</x:f>
      </x:c>
    </x:row>
    <x:row r="110">
      <x:c r="A110" s="26"/>
      <x:c r="B110" s="26" t="str">
        <x:f>IF(A110="","",A110-MOD(WEEKDAY(A110,2)-5,7))</x:f>
      </x:c>
      <x:c r="C110" s="26" t="str">
        <x:f>IF(B110="","",B110+7)</x:f>
      </x:c>
      <x:c r="D110" t="str">
        <x:f>IF(A110="","",TEXT(A110,"dddd"))</x:f>
      </x:c>
      <x:c r="E110" s="24"/>
      <x:c r="F110" s="24"/>
      <x:c r="G110" s="32" t="n">
        <x:f>IF(AND(E110&lt;Settings!$B$11,F110&gt;Settings!$B$11),Settings!$B$12,0)</x:f>
        <x:v>0</x:v>
      </x:c>
      <x:c r="H110" s="32" t="n">
        <x:f>IF(AND(E110&lt;Settings!$B$13,F110&gt;Settings!$B$13),Settings!$B$14,0)</x:f>
        <x:v>0</x:v>
      </x:c>
      <x:c r="I110" s="32" t="str">
        <x:f>IF(A110="","",G110+H110)</x:f>
      </x:c>
      <x:c r="J110" s="22" t="str">
        <x:f>IF(A110="","",((F110-E110)*24)-(I110/60))</x:f>
      </x:c>
      <x:c r="K110" s="22" t="str">
        <x:f>IF(A110="","",MIN(J110,8))</x:f>
      </x:c>
      <x:c r="L110" s="22" t="str">
        <x:f>IF(A110="","",MAX(J110-8,0))</x:f>
      </x:c>
      <x:c r="M110" s="20" t="str">
        <x:f>IF(A110="","",K110*Settings!$B$5)</x:f>
      </x:c>
      <x:c r="N110" s="20" t="str">
        <x:f>IF(A110="","",L110*Settings!$B$6)</x:f>
      </x:c>
      <x:c r="O110" s="22"/>
      <x:c r="P110" s="22"/>
      <x:c r="Q110" s="22" t="str">
        <x:f>IF(A110="","",MAX(O110-Settings!$B$7,0))</x:f>
      </x:c>
      <x:c r="R110" s="20" t="str">
        <x:f>IF(A110="","",Q110*Settings!$B$8)</x:f>
      </x:c>
      <x:c r="S110" s="20" t="str">
        <x:f>IF(A110="","",M110+N110)</x:f>
      </x:c>
      <x:c r="T110" s="20" t="str">
        <x:f>IF(A110="","",S110+R110)</x:f>
      </x:c>
    </x:row>
    <x:row r="111">
      <x:c r="A111" s="26"/>
      <x:c r="B111" s="26" t="str">
        <x:f>IF(A111="","",A111-MOD(WEEKDAY(A111,2)-5,7))</x:f>
      </x:c>
      <x:c r="C111" s="26" t="str">
        <x:f>IF(B111="","",B111+7)</x:f>
      </x:c>
      <x:c r="D111" t="str">
        <x:f>IF(A111="","",TEXT(A111,"dddd"))</x:f>
      </x:c>
      <x:c r="E111" s="24"/>
      <x:c r="F111" s="24"/>
      <x:c r="G111" s="32" t="n">
        <x:f>IF(AND(E111&lt;Settings!$B$11,F111&gt;Settings!$B$11),Settings!$B$12,0)</x:f>
        <x:v>0</x:v>
      </x:c>
      <x:c r="H111" s="32" t="n">
        <x:f>IF(AND(E111&lt;Settings!$B$13,F111&gt;Settings!$B$13),Settings!$B$14,0)</x:f>
        <x:v>0</x:v>
      </x:c>
      <x:c r="I111" s="32" t="str">
        <x:f>IF(A111="","",G111+H111)</x:f>
      </x:c>
      <x:c r="J111" s="22" t="str">
        <x:f>IF(A111="","",((F111-E111)*24)-(I111/60))</x:f>
      </x:c>
      <x:c r="K111" s="22" t="str">
        <x:f>IF(A111="","",MIN(J111,8))</x:f>
      </x:c>
      <x:c r="L111" s="22" t="str">
        <x:f>IF(A111="","",MAX(J111-8,0))</x:f>
      </x:c>
      <x:c r="M111" s="20" t="str">
        <x:f>IF(A111="","",K111*Settings!$B$5)</x:f>
      </x:c>
      <x:c r="N111" s="20" t="str">
        <x:f>IF(A111="","",L111*Settings!$B$6)</x:f>
      </x:c>
      <x:c r="O111" s="22"/>
      <x:c r="P111" s="22"/>
      <x:c r="Q111" s="22" t="str">
        <x:f>IF(A111="","",MAX(O111-Settings!$B$7,0))</x:f>
      </x:c>
      <x:c r="R111" s="20" t="str">
        <x:f>IF(A111="","",Q111*Settings!$B$8)</x:f>
      </x:c>
      <x:c r="S111" s="20" t="str">
        <x:f>IF(A111="","",M111+N111)</x:f>
      </x:c>
      <x:c r="T111" s="20" t="str">
        <x:f>IF(A111="","",S111+R111)</x:f>
      </x:c>
    </x:row>
    <x:row r="112">
      <x:c r="A112" s="26"/>
      <x:c r="B112" s="26" t="str">
        <x:f>IF(A112="","",A112-MOD(WEEKDAY(A112,2)-5,7))</x:f>
      </x:c>
      <x:c r="C112" s="26" t="str">
        <x:f>IF(B112="","",B112+7)</x:f>
      </x:c>
      <x:c r="D112" t="str">
        <x:f>IF(A112="","",TEXT(A112,"dddd"))</x:f>
      </x:c>
      <x:c r="E112" s="24"/>
      <x:c r="F112" s="24"/>
      <x:c r="G112" s="32" t="n">
        <x:f>IF(AND(E112&lt;Settings!$B$11,F112&gt;Settings!$B$11),Settings!$B$12,0)</x:f>
        <x:v>0</x:v>
      </x:c>
      <x:c r="H112" s="32" t="n">
        <x:f>IF(AND(E112&lt;Settings!$B$13,F112&gt;Settings!$B$13),Settings!$B$14,0)</x:f>
        <x:v>0</x:v>
      </x:c>
      <x:c r="I112" s="32" t="str">
        <x:f>IF(A112="","",G112+H112)</x:f>
      </x:c>
      <x:c r="J112" s="22" t="str">
        <x:f>IF(A112="","",((F112-E112)*24)-(I112/60))</x:f>
      </x:c>
      <x:c r="K112" s="22" t="str">
        <x:f>IF(A112="","",MIN(J112,8))</x:f>
      </x:c>
      <x:c r="L112" s="22" t="str">
        <x:f>IF(A112="","",MAX(J112-8,0))</x:f>
      </x:c>
      <x:c r="M112" s="20" t="str">
        <x:f>IF(A112="","",K112*Settings!$B$5)</x:f>
      </x:c>
      <x:c r="N112" s="20" t="str">
        <x:f>IF(A112="","",L112*Settings!$B$6)</x:f>
      </x:c>
      <x:c r="O112" s="22"/>
      <x:c r="P112" s="22"/>
      <x:c r="Q112" s="22" t="str">
        <x:f>IF(A112="","",MAX(O112-Settings!$B$7,0))</x:f>
      </x:c>
      <x:c r="R112" s="20" t="str">
        <x:f>IF(A112="","",Q112*Settings!$B$8)</x:f>
      </x:c>
      <x:c r="S112" s="20" t="str">
        <x:f>IF(A112="","",M112+N112)</x:f>
      </x:c>
      <x:c r="T112" s="20" t="str">
        <x:f>IF(A112="","",S112+R112)</x:f>
      </x:c>
    </x:row>
    <x:row r="113">
      <x:c r="A113" s="26"/>
      <x:c r="B113" s="26" t="str">
        <x:f>IF(A113="","",A113-MOD(WEEKDAY(A113,2)-5,7))</x:f>
      </x:c>
      <x:c r="C113" s="26" t="str">
        <x:f>IF(B113="","",B113+7)</x:f>
      </x:c>
      <x:c r="D113" t="str">
        <x:f>IF(A113="","",TEXT(A113,"dddd"))</x:f>
      </x:c>
      <x:c r="E113" s="24"/>
      <x:c r="F113" s="24"/>
      <x:c r="G113" s="32" t="n">
        <x:f>IF(AND(E113&lt;Settings!$B$11,F113&gt;Settings!$B$11),Settings!$B$12,0)</x:f>
        <x:v>0</x:v>
      </x:c>
      <x:c r="H113" s="32" t="n">
        <x:f>IF(AND(E113&lt;Settings!$B$13,F113&gt;Settings!$B$13),Settings!$B$14,0)</x:f>
        <x:v>0</x:v>
      </x:c>
      <x:c r="I113" s="32" t="str">
        <x:f>IF(A113="","",G113+H113)</x:f>
      </x:c>
      <x:c r="J113" s="22" t="str">
        <x:f>IF(A113="","",((F113-E113)*24)-(I113/60))</x:f>
      </x:c>
      <x:c r="K113" s="22" t="str">
        <x:f>IF(A113="","",MIN(J113,8))</x:f>
      </x:c>
      <x:c r="L113" s="22" t="str">
        <x:f>IF(A113="","",MAX(J113-8,0))</x:f>
      </x:c>
      <x:c r="M113" s="20" t="str">
        <x:f>IF(A113="","",K113*Settings!$B$5)</x:f>
      </x:c>
      <x:c r="N113" s="20" t="str">
        <x:f>IF(A113="","",L113*Settings!$B$6)</x:f>
      </x:c>
      <x:c r="O113" s="22"/>
      <x:c r="P113" s="22"/>
      <x:c r="Q113" s="22" t="str">
        <x:f>IF(A113="","",MAX(O113-Settings!$B$7,0))</x:f>
      </x:c>
      <x:c r="R113" s="20" t="str">
        <x:f>IF(A113="","",Q113*Settings!$B$8)</x:f>
      </x:c>
      <x:c r="S113" s="20" t="str">
        <x:f>IF(A113="","",M113+N113)</x:f>
      </x:c>
      <x:c r="T113" s="20" t="str">
        <x:f>IF(A113="","",S113+R113)</x:f>
      </x:c>
    </x:row>
    <x:row r="114">
      <x:c r="A114" s="26"/>
      <x:c r="B114" s="26" t="str">
        <x:f>IF(A114="","",A114-MOD(WEEKDAY(A114,2)-5,7))</x:f>
      </x:c>
      <x:c r="C114" s="26" t="str">
        <x:f>IF(B114="","",B114+7)</x:f>
      </x:c>
      <x:c r="D114" t="str">
        <x:f>IF(A114="","",TEXT(A114,"dddd"))</x:f>
      </x:c>
      <x:c r="E114" s="24"/>
      <x:c r="F114" s="24"/>
      <x:c r="G114" s="32" t="n">
        <x:f>IF(AND(E114&lt;Settings!$B$11,F114&gt;Settings!$B$11),Settings!$B$12,0)</x:f>
        <x:v>0</x:v>
      </x:c>
      <x:c r="H114" s="32" t="n">
        <x:f>IF(AND(E114&lt;Settings!$B$13,F114&gt;Settings!$B$13),Settings!$B$14,0)</x:f>
        <x:v>0</x:v>
      </x:c>
      <x:c r="I114" s="32" t="str">
        <x:f>IF(A114="","",G114+H114)</x:f>
      </x:c>
      <x:c r="J114" s="22" t="str">
        <x:f>IF(A114="","",((F114-E114)*24)-(I114/60))</x:f>
      </x:c>
      <x:c r="K114" s="22" t="str">
        <x:f>IF(A114="","",MIN(J114,8))</x:f>
      </x:c>
      <x:c r="L114" s="22" t="str">
        <x:f>IF(A114="","",MAX(J114-8,0))</x:f>
      </x:c>
      <x:c r="M114" s="20" t="str">
        <x:f>IF(A114="","",K114*Settings!$B$5)</x:f>
      </x:c>
      <x:c r="N114" s="20" t="str">
        <x:f>IF(A114="","",L114*Settings!$B$6)</x:f>
      </x:c>
      <x:c r="O114" s="22"/>
      <x:c r="P114" s="22"/>
      <x:c r="Q114" s="22" t="str">
        <x:f>IF(A114="","",MAX(O114-Settings!$B$7,0))</x:f>
      </x:c>
      <x:c r="R114" s="20" t="str">
        <x:f>IF(A114="","",Q114*Settings!$B$8)</x:f>
      </x:c>
      <x:c r="S114" s="20" t="str">
        <x:f>IF(A114="","",M114+N114)</x:f>
      </x:c>
      <x:c r="T114" s="20" t="str">
        <x:f>IF(A114="","",S114+R114)</x:f>
      </x:c>
    </x:row>
    <x:row r="115">
      <x:c r="A115" s="26"/>
      <x:c r="B115" s="26" t="str">
        <x:f>IF(A115="","",A115-MOD(WEEKDAY(A115,2)-5,7))</x:f>
      </x:c>
      <x:c r="C115" s="26" t="str">
        <x:f>IF(B115="","",B115+7)</x:f>
      </x:c>
      <x:c r="D115" t="str">
        <x:f>IF(A115="","",TEXT(A115,"dddd"))</x:f>
      </x:c>
      <x:c r="E115" s="24"/>
      <x:c r="F115" s="24"/>
      <x:c r="G115" s="32" t="n">
        <x:f>IF(AND(E115&lt;Settings!$B$11,F115&gt;Settings!$B$11),Settings!$B$12,0)</x:f>
        <x:v>0</x:v>
      </x:c>
      <x:c r="H115" s="32" t="n">
        <x:f>IF(AND(E115&lt;Settings!$B$13,F115&gt;Settings!$B$13),Settings!$B$14,0)</x:f>
        <x:v>0</x:v>
      </x:c>
      <x:c r="I115" s="32" t="str">
        <x:f>IF(A115="","",G115+H115)</x:f>
      </x:c>
      <x:c r="J115" s="22" t="str">
        <x:f>IF(A115="","",((F115-E115)*24)-(I115/60))</x:f>
      </x:c>
      <x:c r="K115" s="22" t="str">
        <x:f>IF(A115="","",MIN(J115,8))</x:f>
      </x:c>
      <x:c r="L115" s="22" t="str">
        <x:f>IF(A115="","",MAX(J115-8,0))</x:f>
      </x:c>
      <x:c r="M115" s="20" t="str">
        <x:f>IF(A115="","",K115*Settings!$B$5)</x:f>
      </x:c>
      <x:c r="N115" s="20" t="str">
        <x:f>IF(A115="","",L115*Settings!$B$6)</x:f>
      </x:c>
      <x:c r="O115" s="22"/>
      <x:c r="P115" s="22"/>
      <x:c r="Q115" s="22" t="str">
        <x:f>IF(A115="","",MAX(O115-Settings!$B$7,0))</x:f>
      </x:c>
      <x:c r="R115" s="20" t="str">
        <x:f>IF(A115="","",Q115*Settings!$B$8)</x:f>
      </x:c>
      <x:c r="S115" s="20" t="str">
        <x:f>IF(A115="","",M115+N115)</x:f>
      </x:c>
      <x:c r="T115" s="20" t="str">
        <x:f>IF(A115="","",S115+R115)</x:f>
      </x:c>
    </x:row>
    <x:row r="116">
      <x:c r="A116" s="26"/>
      <x:c r="B116" s="26" t="str">
        <x:f>IF(A116="","",A116-MOD(WEEKDAY(A116,2)-5,7))</x:f>
      </x:c>
      <x:c r="C116" s="26" t="str">
        <x:f>IF(B116="","",B116+7)</x:f>
      </x:c>
      <x:c r="D116" t="str">
        <x:f>IF(A116="","",TEXT(A116,"dddd"))</x:f>
      </x:c>
      <x:c r="E116" s="24"/>
      <x:c r="F116" s="24"/>
      <x:c r="G116" s="32" t="n">
        <x:f>IF(AND(E116&lt;Settings!$B$11,F116&gt;Settings!$B$11),Settings!$B$12,0)</x:f>
        <x:v>0</x:v>
      </x:c>
      <x:c r="H116" s="32" t="n">
        <x:f>IF(AND(E116&lt;Settings!$B$13,F116&gt;Settings!$B$13),Settings!$B$14,0)</x:f>
        <x:v>0</x:v>
      </x:c>
      <x:c r="I116" s="32" t="str">
        <x:f>IF(A116="","",G116+H116)</x:f>
      </x:c>
      <x:c r="J116" s="22" t="str">
        <x:f>IF(A116="","",((F116-E116)*24)-(I116/60))</x:f>
      </x:c>
      <x:c r="K116" s="22" t="str">
        <x:f>IF(A116="","",MIN(J116,8))</x:f>
      </x:c>
      <x:c r="L116" s="22" t="str">
        <x:f>IF(A116="","",MAX(J116-8,0))</x:f>
      </x:c>
      <x:c r="M116" s="20" t="str">
        <x:f>IF(A116="","",K116*Settings!$B$5)</x:f>
      </x:c>
      <x:c r="N116" s="20" t="str">
        <x:f>IF(A116="","",L116*Settings!$B$6)</x:f>
      </x:c>
      <x:c r="O116" s="22"/>
      <x:c r="P116" s="22"/>
      <x:c r="Q116" s="22" t="str">
        <x:f>IF(A116="","",MAX(O116-Settings!$B$7,0))</x:f>
      </x:c>
      <x:c r="R116" s="20" t="str">
        <x:f>IF(A116="","",Q116*Settings!$B$8)</x:f>
      </x:c>
      <x:c r="S116" s="20" t="str">
        <x:f>IF(A116="","",M116+N116)</x:f>
      </x:c>
      <x:c r="T116" s="20" t="str">
        <x:f>IF(A116="","",S116+R116)</x:f>
      </x:c>
    </x:row>
    <x:row r="117">
      <x:c r="A117" s="26"/>
      <x:c r="B117" s="26" t="str">
        <x:f>IF(A117="","",A117-MOD(WEEKDAY(A117,2)-5,7))</x:f>
      </x:c>
      <x:c r="C117" s="26" t="str">
        <x:f>IF(B117="","",B117+7)</x:f>
      </x:c>
      <x:c r="D117" t="str">
        <x:f>IF(A117="","",TEXT(A117,"dddd"))</x:f>
      </x:c>
      <x:c r="E117" s="24"/>
      <x:c r="F117" s="24"/>
      <x:c r="G117" s="32" t="n">
        <x:f>IF(AND(E117&lt;Settings!$B$11,F117&gt;Settings!$B$11),Settings!$B$12,0)</x:f>
        <x:v>0</x:v>
      </x:c>
      <x:c r="H117" s="32" t="n">
        <x:f>IF(AND(E117&lt;Settings!$B$13,F117&gt;Settings!$B$13),Settings!$B$14,0)</x:f>
        <x:v>0</x:v>
      </x:c>
      <x:c r="I117" s="32" t="str">
        <x:f>IF(A117="","",G117+H117)</x:f>
      </x:c>
      <x:c r="J117" s="22" t="str">
        <x:f>IF(A117="","",((F117-E117)*24)-(I117/60))</x:f>
      </x:c>
      <x:c r="K117" s="22" t="str">
        <x:f>IF(A117="","",MIN(J117,8))</x:f>
      </x:c>
      <x:c r="L117" s="22" t="str">
        <x:f>IF(A117="","",MAX(J117-8,0))</x:f>
      </x:c>
      <x:c r="M117" s="20" t="str">
        <x:f>IF(A117="","",K117*Settings!$B$5)</x:f>
      </x:c>
      <x:c r="N117" s="20" t="str">
        <x:f>IF(A117="","",L117*Settings!$B$6)</x:f>
      </x:c>
      <x:c r="O117" s="22"/>
      <x:c r="P117" s="22"/>
      <x:c r="Q117" s="22" t="str">
        <x:f>IF(A117="","",MAX(O117-Settings!$B$7,0))</x:f>
      </x:c>
      <x:c r="R117" s="20" t="str">
        <x:f>IF(A117="","",Q117*Settings!$B$8)</x:f>
      </x:c>
      <x:c r="S117" s="20" t="str">
        <x:f>IF(A117="","",M117+N117)</x:f>
      </x:c>
      <x:c r="T117" s="20" t="str">
        <x:f>IF(A117="","",S117+R117)</x:f>
      </x:c>
    </x:row>
    <x:row r="118">
      <x:c r="A118" s="26"/>
      <x:c r="B118" s="26" t="str">
        <x:f>IF(A118="","",A118-MOD(WEEKDAY(A118,2)-5,7))</x:f>
      </x:c>
      <x:c r="C118" s="26" t="str">
        <x:f>IF(B118="","",B118+7)</x:f>
      </x:c>
      <x:c r="D118" t="str">
        <x:f>IF(A118="","",TEXT(A118,"dddd"))</x:f>
      </x:c>
      <x:c r="E118" s="24"/>
      <x:c r="F118" s="24"/>
      <x:c r="G118" s="32" t="n">
        <x:f>IF(AND(E118&lt;Settings!$B$11,F118&gt;Settings!$B$11),Settings!$B$12,0)</x:f>
        <x:v>0</x:v>
      </x:c>
      <x:c r="H118" s="32" t="n">
        <x:f>IF(AND(E118&lt;Settings!$B$13,F118&gt;Settings!$B$13),Settings!$B$14,0)</x:f>
        <x:v>0</x:v>
      </x:c>
      <x:c r="I118" s="32" t="str">
        <x:f>IF(A118="","",G118+H118)</x:f>
      </x:c>
      <x:c r="J118" s="22" t="str">
        <x:f>IF(A118="","",((F118-E118)*24)-(I118/60))</x:f>
      </x:c>
      <x:c r="K118" s="22" t="str">
        <x:f>IF(A118="","",MIN(J118,8))</x:f>
      </x:c>
      <x:c r="L118" s="22" t="str">
        <x:f>IF(A118="","",MAX(J118-8,0))</x:f>
      </x:c>
      <x:c r="M118" s="20" t="str">
        <x:f>IF(A118="","",K118*Settings!$B$5)</x:f>
      </x:c>
      <x:c r="N118" s="20" t="str">
        <x:f>IF(A118="","",L118*Settings!$B$6)</x:f>
      </x:c>
      <x:c r="O118" s="22"/>
      <x:c r="P118" s="22"/>
      <x:c r="Q118" s="22" t="str">
        <x:f>IF(A118="","",MAX(O118-Settings!$B$7,0))</x:f>
      </x:c>
      <x:c r="R118" s="20" t="str">
        <x:f>IF(A118="","",Q118*Settings!$B$8)</x:f>
      </x:c>
      <x:c r="S118" s="20" t="str">
        <x:f>IF(A118="","",M118+N118)</x:f>
      </x:c>
      <x:c r="T118" s="20" t="str">
        <x:f>IF(A118="","",S118+R118)</x:f>
      </x:c>
    </x:row>
    <x:row r="119">
      <x:c r="A119" s="26"/>
      <x:c r="B119" s="26" t="str">
        <x:f>IF(A119="","",A119-MOD(WEEKDAY(A119,2)-5,7))</x:f>
      </x:c>
      <x:c r="C119" s="26" t="str">
        <x:f>IF(B119="","",B119+7)</x:f>
      </x:c>
      <x:c r="D119" t="str">
        <x:f>IF(A119="","",TEXT(A119,"dddd"))</x:f>
      </x:c>
      <x:c r="E119" s="24"/>
      <x:c r="F119" s="24"/>
      <x:c r="G119" s="32" t="n">
        <x:f>IF(AND(E119&lt;Settings!$B$11,F119&gt;Settings!$B$11),Settings!$B$12,0)</x:f>
        <x:v>0</x:v>
      </x:c>
      <x:c r="H119" s="32" t="n">
        <x:f>IF(AND(E119&lt;Settings!$B$13,F119&gt;Settings!$B$13),Settings!$B$14,0)</x:f>
        <x:v>0</x:v>
      </x:c>
      <x:c r="I119" s="32" t="str">
        <x:f>IF(A119="","",G119+H119)</x:f>
      </x:c>
      <x:c r="J119" s="22" t="str">
        <x:f>IF(A119="","",((F119-E119)*24)-(I119/60))</x:f>
      </x:c>
      <x:c r="K119" s="22" t="str">
        <x:f>IF(A119="","",MIN(J119,8))</x:f>
      </x:c>
      <x:c r="L119" s="22" t="str">
        <x:f>IF(A119="","",MAX(J119-8,0))</x:f>
      </x:c>
      <x:c r="M119" s="20" t="str">
        <x:f>IF(A119="","",K119*Settings!$B$5)</x:f>
      </x:c>
      <x:c r="N119" s="20" t="str">
        <x:f>IF(A119="","",L119*Settings!$B$6)</x:f>
      </x:c>
      <x:c r="O119" s="22"/>
      <x:c r="P119" s="22"/>
      <x:c r="Q119" s="22" t="str">
        <x:f>IF(A119="","",MAX(O119-Settings!$B$7,0))</x:f>
      </x:c>
      <x:c r="R119" s="20" t="str">
        <x:f>IF(A119="","",Q119*Settings!$B$8)</x:f>
      </x:c>
      <x:c r="S119" s="20" t="str">
        <x:f>IF(A119="","",M119+N119)</x:f>
      </x:c>
      <x:c r="T119" s="20" t="str">
        <x:f>IF(A119="","",S119+R119)</x:f>
      </x:c>
    </x:row>
    <x:row r="120">
      <x:c r="A120" s="26"/>
      <x:c r="B120" s="26" t="str">
        <x:f>IF(A120="","",A120-MOD(WEEKDAY(A120,2)-5,7))</x:f>
      </x:c>
      <x:c r="C120" s="26" t="str">
        <x:f>IF(B120="","",B120+7)</x:f>
      </x:c>
      <x:c r="D120" t="str">
        <x:f>IF(A120="","",TEXT(A120,"dddd"))</x:f>
      </x:c>
      <x:c r="E120" s="24"/>
      <x:c r="F120" s="24"/>
      <x:c r="G120" s="32" t="n">
        <x:f>IF(AND(E120&lt;Settings!$B$11,F120&gt;Settings!$B$11),Settings!$B$12,0)</x:f>
        <x:v>0</x:v>
      </x:c>
      <x:c r="H120" s="32" t="n">
        <x:f>IF(AND(E120&lt;Settings!$B$13,F120&gt;Settings!$B$13),Settings!$B$14,0)</x:f>
        <x:v>0</x:v>
      </x:c>
      <x:c r="I120" s="32" t="str">
        <x:f>IF(A120="","",G120+H120)</x:f>
      </x:c>
      <x:c r="J120" s="22" t="str">
        <x:f>IF(A120="","",((F120-E120)*24)-(I120/60))</x:f>
      </x:c>
      <x:c r="K120" s="22" t="str">
        <x:f>IF(A120="","",MIN(J120,8))</x:f>
      </x:c>
      <x:c r="L120" s="22" t="str">
        <x:f>IF(A120="","",MAX(J120-8,0))</x:f>
      </x:c>
      <x:c r="M120" s="20" t="str">
        <x:f>IF(A120="","",K120*Settings!$B$5)</x:f>
      </x:c>
      <x:c r="N120" s="20" t="str">
        <x:f>IF(A120="","",L120*Settings!$B$6)</x:f>
      </x:c>
      <x:c r="O120" s="22"/>
      <x:c r="P120" s="22"/>
      <x:c r="Q120" s="22" t="str">
        <x:f>IF(A120="","",MAX(O120-Settings!$B$7,0))</x:f>
      </x:c>
      <x:c r="R120" s="20" t="str">
        <x:f>IF(A120="","",Q120*Settings!$B$8)</x:f>
      </x:c>
      <x:c r="S120" s="20" t="str">
        <x:f>IF(A120="","",M120+N120)</x:f>
      </x:c>
      <x:c r="T120" s="20" t="str">
        <x:f>IF(A120="","",S120+R120)</x:f>
      </x:c>
    </x:row>
    <x:row r="121">
      <x:c r="A121" s="26"/>
      <x:c r="B121" s="26" t="str">
        <x:f>IF(A121="","",A121-MOD(WEEKDAY(A121,2)-5,7))</x:f>
      </x:c>
      <x:c r="C121" s="26" t="str">
        <x:f>IF(B121="","",B121+7)</x:f>
      </x:c>
      <x:c r="D121" t="str">
        <x:f>IF(A121="","",TEXT(A121,"dddd"))</x:f>
      </x:c>
      <x:c r="E121" s="24"/>
      <x:c r="F121" s="24"/>
      <x:c r="G121" s="32" t="n">
        <x:f>IF(AND(E121&lt;Settings!$B$11,F121&gt;Settings!$B$11),Settings!$B$12,0)</x:f>
        <x:v>0</x:v>
      </x:c>
      <x:c r="H121" s="32" t="n">
        <x:f>IF(AND(E121&lt;Settings!$B$13,F121&gt;Settings!$B$13),Settings!$B$14,0)</x:f>
        <x:v>0</x:v>
      </x:c>
      <x:c r="I121" s="32" t="str">
        <x:f>IF(A121="","",G121+H121)</x:f>
      </x:c>
      <x:c r="J121" s="22" t="str">
        <x:f>IF(A121="","",((F121-E121)*24)-(I121/60))</x:f>
      </x:c>
      <x:c r="K121" s="22" t="str">
        <x:f>IF(A121="","",MIN(J121,8))</x:f>
      </x:c>
      <x:c r="L121" s="22" t="str">
        <x:f>IF(A121="","",MAX(J121-8,0))</x:f>
      </x:c>
      <x:c r="M121" s="20" t="str">
        <x:f>IF(A121="","",K121*Settings!$B$5)</x:f>
      </x:c>
      <x:c r="N121" s="20" t="str">
        <x:f>IF(A121="","",L121*Settings!$B$6)</x:f>
      </x:c>
      <x:c r="O121" s="22"/>
      <x:c r="P121" s="22"/>
      <x:c r="Q121" s="22" t="str">
        <x:f>IF(A121="","",MAX(O121-Settings!$B$7,0))</x:f>
      </x:c>
      <x:c r="R121" s="20" t="str">
        <x:f>IF(A121="","",Q121*Settings!$B$8)</x:f>
      </x:c>
      <x:c r="S121" s="20" t="str">
        <x:f>IF(A121="","",M121+N121)</x:f>
      </x:c>
      <x:c r="T121" s="20" t="str">
        <x:f>IF(A121="","",S121+R121)</x:f>
      </x:c>
    </x:row>
    <x:row r="122">
      <x:c r="A122" s="26"/>
      <x:c r="B122" s="26" t="str">
        <x:f>IF(A122="","",A122-MOD(WEEKDAY(A122,2)-5,7))</x:f>
      </x:c>
      <x:c r="C122" s="26" t="str">
        <x:f>IF(B122="","",B122+7)</x:f>
      </x:c>
      <x:c r="D122" t="str">
        <x:f>IF(A122="","",TEXT(A122,"dddd"))</x:f>
      </x:c>
      <x:c r="E122" s="24"/>
      <x:c r="F122" s="24"/>
      <x:c r="G122" s="32" t="n">
        <x:f>IF(AND(E122&lt;Settings!$B$11,F122&gt;Settings!$B$11),Settings!$B$12,0)</x:f>
        <x:v>0</x:v>
      </x:c>
      <x:c r="H122" s="32" t="n">
        <x:f>IF(AND(E122&lt;Settings!$B$13,F122&gt;Settings!$B$13),Settings!$B$14,0)</x:f>
        <x:v>0</x:v>
      </x:c>
      <x:c r="I122" s="32" t="str">
        <x:f>IF(A122="","",G122+H122)</x:f>
      </x:c>
      <x:c r="J122" s="22" t="str">
        <x:f>IF(A122="","",((F122-E122)*24)-(I122/60))</x:f>
      </x:c>
      <x:c r="K122" s="22" t="str">
        <x:f>IF(A122="","",MIN(J122,8))</x:f>
      </x:c>
      <x:c r="L122" s="22" t="str">
        <x:f>IF(A122="","",MAX(J122-8,0))</x:f>
      </x:c>
      <x:c r="M122" s="20" t="str">
        <x:f>IF(A122="","",K122*Settings!$B$5)</x:f>
      </x:c>
      <x:c r="N122" s="20" t="str">
        <x:f>IF(A122="","",L122*Settings!$B$6)</x:f>
      </x:c>
      <x:c r="O122" s="22"/>
      <x:c r="P122" s="22"/>
      <x:c r="Q122" s="22" t="str">
        <x:f>IF(A122="","",MAX(O122-Settings!$B$7,0))</x:f>
      </x:c>
      <x:c r="R122" s="20" t="str">
        <x:f>IF(A122="","",Q122*Settings!$B$8)</x:f>
      </x:c>
      <x:c r="S122" s="20" t="str">
        <x:f>IF(A122="","",M122+N122)</x:f>
      </x:c>
      <x:c r="T122" s="20" t="str">
        <x:f>IF(A122="","",S122+R122)</x:f>
      </x:c>
    </x:row>
    <x:row r="123">
      <x:c r="A123" s="26"/>
      <x:c r="B123" s="26" t="str">
        <x:f>IF(A123="","",A123-MOD(WEEKDAY(A123,2)-5,7))</x:f>
      </x:c>
      <x:c r="C123" s="26" t="str">
        <x:f>IF(B123="","",B123+7)</x:f>
      </x:c>
      <x:c r="D123" t="str">
        <x:f>IF(A123="","",TEXT(A123,"dddd"))</x:f>
      </x:c>
      <x:c r="E123" s="24"/>
      <x:c r="F123" s="24"/>
      <x:c r="G123" s="32" t="n">
        <x:f>IF(AND(E123&lt;Settings!$B$11,F123&gt;Settings!$B$11),Settings!$B$12,0)</x:f>
        <x:v>0</x:v>
      </x:c>
      <x:c r="H123" s="32" t="n">
        <x:f>IF(AND(E123&lt;Settings!$B$13,F123&gt;Settings!$B$13),Settings!$B$14,0)</x:f>
        <x:v>0</x:v>
      </x:c>
      <x:c r="I123" s="32" t="str">
        <x:f>IF(A123="","",G123+H123)</x:f>
      </x:c>
      <x:c r="J123" s="22" t="str">
        <x:f>IF(A123="","",((F123-E123)*24)-(I123/60))</x:f>
      </x:c>
      <x:c r="K123" s="22" t="str">
        <x:f>IF(A123="","",MIN(J123,8))</x:f>
      </x:c>
      <x:c r="L123" s="22" t="str">
        <x:f>IF(A123="","",MAX(J123-8,0))</x:f>
      </x:c>
      <x:c r="M123" s="20" t="str">
        <x:f>IF(A123="","",K123*Settings!$B$5)</x:f>
      </x:c>
      <x:c r="N123" s="20" t="str">
        <x:f>IF(A123="","",L123*Settings!$B$6)</x:f>
      </x:c>
      <x:c r="O123" s="22"/>
      <x:c r="P123" s="22"/>
      <x:c r="Q123" s="22" t="str">
        <x:f>IF(A123="","",MAX(O123-Settings!$B$7,0))</x:f>
      </x:c>
      <x:c r="R123" s="20" t="str">
        <x:f>IF(A123="","",Q123*Settings!$B$8)</x:f>
      </x:c>
      <x:c r="S123" s="20" t="str">
        <x:f>IF(A123="","",M123+N123)</x:f>
      </x:c>
      <x:c r="T123" s="20" t="str">
        <x:f>IF(A123="","",S123+R123)</x:f>
      </x:c>
    </x:row>
    <x:row r="124">
      <x:c r="A124" s="26"/>
      <x:c r="B124" s="26" t="str">
        <x:f>IF(A124="","",A124-MOD(WEEKDAY(A124,2)-5,7))</x:f>
      </x:c>
      <x:c r="C124" s="26" t="str">
        <x:f>IF(B124="","",B124+7)</x:f>
      </x:c>
      <x:c r="D124" t="str">
        <x:f>IF(A124="","",TEXT(A124,"dddd"))</x:f>
      </x:c>
      <x:c r="E124" s="24"/>
      <x:c r="F124" s="24"/>
      <x:c r="G124" s="32" t="n">
        <x:f>IF(AND(E124&lt;Settings!$B$11,F124&gt;Settings!$B$11),Settings!$B$12,0)</x:f>
        <x:v>0</x:v>
      </x:c>
      <x:c r="H124" s="32" t="n">
        <x:f>IF(AND(E124&lt;Settings!$B$13,F124&gt;Settings!$B$13),Settings!$B$14,0)</x:f>
        <x:v>0</x:v>
      </x:c>
      <x:c r="I124" s="32" t="str">
        <x:f>IF(A124="","",G124+H124)</x:f>
      </x:c>
      <x:c r="J124" s="22" t="str">
        <x:f>IF(A124="","",((F124-E124)*24)-(I124/60))</x:f>
      </x:c>
      <x:c r="K124" s="22" t="str">
        <x:f>IF(A124="","",MIN(J124,8))</x:f>
      </x:c>
      <x:c r="L124" s="22" t="str">
        <x:f>IF(A124="","",MAX(J124-8,0))</x:f>
      </x:c>
      <x:c r="M124" s="20" t="str">
        <x:f>IF(A124="","",K124*Settings!$B$5)</x:f>
      </x:c>
      <x:c r="N124" s="20" t="str">
        <x:f>IF(A124="","",L124*Settings!$B$6)</x:f>
      </x:c>
      <x:c r="O124" s="22"/>
      <x:c r="P124" s="22"/>
      <x:c r="Q124" s="22" t="str">
        <x:f>IF(A124="","",MAX(O124-Settings!$B$7,0))</x:f>
      </x:c>
      <x:c r="R124" s="20" t="str">
        <x:f>IF(A124="","",Q124*Settings!$B$8)</x:f>
      </x:c>
      <x:c r="S124" s="20" t="str">
        <x:f>IF(A124="","",M124+N124)</x:f>
      </x:c>
      <x:c r="T124" s="20" t="str">
        <x:f>IF(A124="","",S124+R124)</x:f>
      </x:c>
    </x:row>
    <x:row r="125">
      <x:c r="A125" s="26"/>
      <x:c r="B125" s="26" t="str">
        <x:f>IF(A125="","",A125-MOD(WEEKDAY(A125,2)-5,7))</x:f>
      </x:c>
      <x:c r="C125" s="26" t="str">
        <x:f>IF(B125="","",B125+7)</x:f>
      </x:c>
      <x:c r="D125" t="str">
        <x:f>IF(A125="","",TEXT(A125,"dddd"))</x:f>
      </x:c>
      <x:c r="E125" s="24"/>
      <x:c r="F125" s="24"/>
      <x:c r="G125" s="32" t="n">
        <x:f>IF(AND(E125&lt;Settings!$B$11,F125&gt;Settings!$B$11),Settings!$B$12,0)</x:f>
        <x:v>0</x:v>
      </x:c>
      <x:c r="H125" s="32" t="n">
        <x:f>IF(AND(E125&lt;Settings!$B$13,F125&gt;Settings!$B$13),Settings!$B$14,0)</x:f>
        <x:v>0</x:v>
      </x:c>
      <x:c r="I125" s="32" t="str">
        <x:f>IF(A125="","",G125+H125)</x:f>
      </x:c>
      <x:c r="J125" s="22" t="str">
        <x:f>IF(A125="","",((F125-E125)*24)-(I125/60))</x:f>
      </x:c>
      <x:c r="K125" s="22" t="str">
        <x:f>IF(A125="","",MIN(J125,8))</x:f>
      </x:c>
      <x:c r="L125" s="22" t="str">
        <x:f>IF(A125="","",MAX(J125-8,0))</x:f>
      </x:c>
      <x:c r="M125" s="20" t="str">
        <x:f>IF(A125="","",K125*Settings!$B$5)</x:f>
      </x:c>
      <x:c r="N125" s="20" t="str">
        <x:f>IF(A125="","",L125*Settings!$B$6)</x:f>
      </x:c>
      <x:c r="O125" s="22"/>
      <x:c r="P125" s="22"/>
      <x:c r="Q125" s="22" t="str">
        <x:f>IF(A125="","",MAX(O125-Settings!$B$7,0))</x:f>
      </x:c>
      <x:c r="R125" s="20" t="str">
        <x:f>IF(A125="","",Q125*Settings!$B$8)</x:f>
      </x:c>
      <x:c r="S125" s="20" t="str">
        <x:f>IF(A125="","",M125+N125)</x:f>
      </x:c>
      <x:c r="T125" s="20" t="str">
        <x:f>IF(A125="","",S125+R125)</x:f>
      </x:c>
    </x:row>
    <x:row r="126">
      <x:c r="A126" s="26"/>
      <x:c r="B126" s="26" t="str">
        <x:f>IF(A126="","",A126-MOD(WEEKDAY(A126,2)-5,7))</x:f>
      </x:c>
      <x:c r="C126" s="26" t="str">
        <x:f>IF(B126="","",B126+7)</x:f>
      </x:c>
      <x:c r="D126" t="str">
        <x:f>IF(A126="","",TEXT(A126,"dddd"))</x:f>
      </x:c>
      <x:c r="E126" s="24"/>
      <x:c r="F126" s="24"/>
      <x:c r="G126" s="32" t="n">
        <x:f>IF(AND(E126&lt;Settings!$B$11,F126&gt;Settings!$B$11),Settings!$B$12,0)</x:f>
        <x:v>0</x:v>
      </x:c>
      <x:c r="H126" s="32" t="n">
        <x:f>IF(AND(E126&lt;Settings!$B$13,F126&gt;Settings!$B$13),Settings!$B$14,0)</x:f>
        <x:v>0</x:v>
      </x:c>
      <x:c r="I126" s="32" t="str">
        <x:f>IF(A126="","",G126+H126)</x:f>
      </x:c>
      <x:c r="J126" s="22" t="str">
        <x:f>IF(A126="","",((F126-E126)*24)-(I126/60))</x:f>
      </x:c>
      <x:c r="K126" s="22" t="str">
        <x:f>IF(A126="","",MIN(J126,8))</x:f>
      </x:c>
      <x:c r="L126" s="22" t="str">
        <x:f>IF(A126="","",MAX(J126-8,0))</x:f>
      </x:c>
      <x:c r="M126" s="20" t="str">
        <x:f>IF(A126="","",K126*Settings!$B$5)</x:f>
      </x:c>
      <x:c r="N126" s="20" t="str">
        <x:f>IF(A126="","",L126*Settings!$B$6)</x:f>
      </x:c>
      <x:c r="O126" s="22"/>
      <x:c r="P126" s="22"/>
      <x:c r="Q126" s="22" t="str">
        <x:f>IF(A126="","",MAX(O126-Settings!$B$7,0))</x:f>
      </x:c>
      <x:c r="R126" s="20" t="str">
        <x:f>IF(A126="","",Q126*Settings!$B$8)</x:f>
      </x:c>
      <x:c r="S126" s="20" t="str">
        <x:f>IF(A126="","",M126+N126)</x:f>
      </x:c>
      <x:c r="T126" s="20" t="str">
        <x:f>IF(A126="","",S126+R126)</x:f>
      </x:c>
    </x:row>
    <x:row r="127">
      <x:c r="A127" s="26"/>
      <x:c r="B127" s="26" t="str">
        <x:f>IF(A127="","",A127-MOD(WEEKDAY(A127,2)-5,7))</x:f>
      </x:c>
      <x:c r="C127" s="26" t="str">
        <x:f>IF(B127="","",B127+7)</x:f>
      </x:c>
      <x:c r="D127" t="str">
        <x:f>IF(A127="","",TEXT(A127,"dddd"))</x:f>
      </x:c>
      <x:c r="E127" s="24"/>
      <x:c r="F127" s="24"/>
      <x:c r="G127" s="32" t="n">
        <x:f>IF(AND(E127&lt;Settings!$B$11,F127&gt;Settings!$B$11),Settings!$B$12,0)</x:f>
        <x:v>0</x:v>
      </x:c>
      <x:c r="H127" s="32" t="n">
        <x:f>IF(AND(E127&lt;Settings!$B$13,F127&gt;Settings!$B$13),Settings!$B$14,0)</x:f>
        <x:v>0</x:v>
      </x:c>
      <x:c r="I127" s="32" t="str">
        <x:f>IF(A127="","",G127+H127)</x:f>
      </x:c>
      <x:c r="J127" s="22" t="str">
        <x:f>IF(A127="","",((F127-E127)*24)-(I127/60))</x:f>
      </x:c>
      <x:c r="K127" s="22" t="str">
        <x:f>IF(A127="","",MIN(J127,8))</x:f>
      </x:c>
      <x:c r="L127" s="22" t="str">
        <x:f>IF(A127="","",MAX(J127-8,0))</x:f>
      </x:c>
      <x:c r="M127" s="20" t="str">
        <x:f>IF(A127="","",K127*Settings!$B$5)</x:f>
      </x:c>
      <x:c r="N127" s="20" t="str">
        <x:f>IF(A127="","",L127*Settings!$B$6)</x:f>
      </x:c>
      <x:c r="O127" s="22"/>
      <x:c r="P127" s="22"/>
      <x:c r="Q127" s="22" t="str">
        <x:f>IF(A127="","",MAX(O127-Settings!$B$7,0))</x:f>
      </x:c>
      <x:c r="R127" s="20" t="str">
        <x:f>IF(A127="","",Q127*Settings!$B$8)</x:f>
      </x:c>
      <x:c r="S127" s="20" t="str">
        <x:f>IF(A127="","",M127+N127)</x:f>
      </x:c>
      <x:c r="T127" s="20" t="str">
        <x:f>IF(A127="","",S127+R127)</x:f>
      </x:c>
    </x:row>
    <x:row r="128">
      <x:c r="A128" s="26"/>
      <x:c r="B128" s="26" t="str">
        <x:f>IF(A128="","",A128-MOD(WEEKDAY(A128,2)-5,7))</x:f>
      </x:c>
      <x:c r="C128" s="26" t="str">
        <x:f>IF(B128="","",B128+7)</x:f>
      </x:c>
      <x:c r="D128" t="str">
        <x:f>IF(A128="","",TEXT(A128,"dddd"))</x:f>
      </x:c>
      <x:c r="E128" s="24"/>
      <x:c r="F128" s="24"/>
      <x:c r="G128" s="32" t="n">
        <x:f>IF(AND(E128&lt;Settings!$B$11,F128&gt;Settings!$B$11),Settings!$B$12,0)</x:f>
        <x:v>0</x:v>
      </x:c>
      <x:c r="H128" s="32" t="n">
        <x:f>IF(AND(E128&lt;Settings!$B$13,F128&gt;Settings!$B$13),Settings!$B$14,0)</x:f>
        <x:v>0</x:v>
      </x:c>
      <x:c r="I128" s="32" t="str">
        <x:f>IF(A128="","",G128+H128)</x:f>
      </x:c>
      <x:c r="J128" s="22" t="str">
        <x:f>IF(A128="","",((F128-E128)*24)-(I128/60))</x:f>
      </x:c>
      <x:c r="K128" s="22" t="str">
        <x:f>IF(A128="","",MIN(J128,8))</x:f>
      </x:c>
      <x:c r="L128" s="22" t="str">
        <x:f>IF(A128="","",MAX(J128-8,0))</x:f>
      </x:c>
      <x:c r="M128" s="20" t="str">
        <x:f>IF(A128="","",K128*Settings!$B$5)</x:f>
      </x:c>
      <x:c r="N128" s="20" t="str">
        <x:f>IF(A128="","",L128*Settings!$B$6)</x:f>
      </x:c>
      <x:c r="O128" s="22"/>
      <x:c r="P128" s="22"/>
      <x:c r="Q128" s="22" t="str">
        <x:f>IF(A128="","",MAX(O128-Settings!$B$7,0))</x:f>
      </x:c>
      <x:c r="R128" s="20" t="str">
        <x:f>IF(A128="","",Q128*Settings!$B$8)</x:f>
      </x:c>
      <x:c r="S128" s="20" t="str">
        <x:f>IF(A128="","",M128+N128)</x:f>
      </x:c>
      <x:c r="T128" s="20" t="str">
        <x:f>IF(A128="","",S128+R128)</x:f>
      </x:c>
    </x:row>
    <x:row r="129">
      <x:c r="A129" s="26"/>
      <x:c r="B129" s="26" t="str">
        <x:f>IF(A129="","",A129-MOD(WEEKDAY(A129,2)-5,7))</x:f>
      </x:c>
      <x:c r="C129" s="26" t="str">
        <x:f>IF(B129="","",B129+7)</x:f>
      </x:c>
      <x:c r="D129" t="str">
        <x:f>IF(A129="","",TEXT(A129,"dddd"))</x:f>
      </x:c>
      <x:c r="E129" s="24"/>
      <x:c r="F129" s="24"/>
      <x:c r="G129" s="32" t="n">
        <x:f>IF(AND(E129&lt;Settings!$B$11,F129&gt;Settings!$B$11),Settings!$B$12,0)</x:f>
        <x:v>0</x:v>
      </x:c>
      <x:c r="H129" s="32" t="n">
        <x:f>IF(AND(E129&lt;Settings!$B$13,F129&gt;Settings!$B$13),Settings!$B$14,0)</x:f>
        <x:v>0</x:v>
      </x:c>
      <x:c r="I129" s="32" t="str">
        <x:f>IF(A129="","",G129+H129)</x:f>
      </x:c>
      <x:c r="J129" s="22" t="str">
        <x:f>IF(A129="","",((F129-E129)*24)-(I129/60))</x:f>
      </x:c>
      <x:c r="K129" s="22" t="str">
        <x:f>IF(A129="","",MIN(J129,8))</x:f>
      </x:c>
      <x:c r="L129" s="22" t="str">
        <x:f>IF(A129="","",MAX(J129-8,0))</x:f>
      </x:c>
      <x:c r="M129" s="20" t="str">
        <x:f>IF(A129="","",K129*Settings!$B$5)</x:f>
      </x:c>
      <x:c r="N129" s="20" t="str">
        <x:f>IF(A129="","",L129*Settings!$B$6)</x:f>
      </x:c>
      <x:c r="O129" s="22"/>
      <x:c r="P129" s="22"/>
      <x:c r="Q129" s="22" t="str">
        <x:f>IF(A129="","",MAX(O129-Settings!$B$7,0))</x:f>
      </x:c>
      <x:c r="R129" s="20" t="str">
        <x:f>IF(A129="","",Q129*Settings!$B$8)</x:f>
      </x:c>
      <x:c r="S129" s="20" t="str">
        <x:f>IF(A129="","",M129+N129)</x:f>
      </x:c>
      <x:c r="T129" s="20" t="str">
        <x:f>IF(A129="","",S129+R129)</x:f>
      </x:c>
    </x:row>
    <x:row r="130">
      <x:c r="A130" s="26"/>
      <x:c r="B130" s="26" t="str">
        <x:f>IF(A130="","",A130-MOD(WEEKDAY(A130,2)-5,7))</x:f>
      </x:c>
      <x:c r="C130" s="26" t="str">
        <x:f>IF(B130="","",B130+7)</x:f>
      </x:c>
      <x:c r="D130" t="str">
        <x:f>IF(A130="","",TEXT(A130,"dddd"))</x:f>
      </x:c>
      <x:c r="E130" s="24"/>
      <x:c r="F130" s="24"/>
      <x:c r="G130" s="32" t="n">
        <x:f>IF(AND(E130&lt;Settings!$B$11,F130&gt;Settings!$B$11),Settings!$B$12,0)</x:f>
        <x:v>0</x:v>
      </x:c>
      <x:c r="H130" s="32" t="n">
        <x:f>IF(AND(E130&lt;Settings!$B$13,F130&gt;Settings!$B$13),Settings!$B$14,0)</x:f>
        <x:v>0</x:v>
      </x:c>
      <x:c r="I130" s="32" t="str">
        <x:f>IF(A130="","",G130+H130)</x:f>
      </x:c>
      <x:c r="J130" s="22" t="str">
        <x:f>IF(A130="","",((F130-E130)*24)-(I130/60))</x:f>
      </x:c>
      <x:c r="K130" s="22" t="str">
        <x:f>IF(A130="","",MIN(J130,8))</x:f>
      </x:c>
      <x:c r="L130" s="22" t="str">
        <x:f>IF(A130="","",MAX(J130-8,0))</x:f>
      </x:c>
      <x:c r="M130" s="20" t="str">
        <x:f>IF(A130="","",K130*Settings!$B$5)</x:f>
      </x:c>
      <x:c r="N130" s="20" t="str">
        <x:f>IF(A130="","",L130*Settings!$B$6)</x:f>
      </x:c>
      <x:c r="O130" s="22"/>
      <x:c r="P130" s="22"/>
      <x:c r="Q130" s="22" t="str">
        <x:f>IF(A130="","",MAX(O130-Settings!$B$7,0))</x:f>
      </x:c>
      <x:c r="R130" s="20" t="str">
        <x:f>IF(A130="","",Q130*Settings!$B$8)</x:f>
      </x:c>
      <x:c r="S130" s="20" t="str">
        <x:f>IF(A130="","",M130+N130)</x:f>
      </x:c>
      <x:c r="T130" s="20" t="str">
        <x:f>IF(A130="","",S130+R130)</x:f>
      </x:c>
    </x:row>
    <x:row r="131">
      <x:c r="A131" s="26"/>
      <x:c r="B131" s="26" t="str">
        <x:f>IF(A131="","",A131-MOD(WEEKDAY(A131,2)-5,7))</x:f>
      </x:c>
      <x:c r="C131" s="26" t="str">
        <x:f>IF(B131="","",B131+7)</x:f>
      </x:c>
      <x:c r="D131" t="str">
        <x:f>IF(A131="","",TEXT(A131,"dddd"))</x:f>
      </x:c>
      <x:c r="E131" s="24"/>
      <x:c r="F131" s="24"/>
      <x:c r="G131" s="32" t="n">
        <x:f>IF(AND(E131&lt;Settings!$B$11,F131&gt;Settings!$B$11),Settings!$B$12,0)</x:f>
        <x:v>0</x:v>
      </x:c>
      <x:c r="H131" s="32" t="n">
        <x:f>IF(AND(E131&lt;Settings!$B$13,F131&gt;Settings!$B$13),Settings!$B$14,0)</x:f>
        <x:v>0</x:v>
      </x:c>
      <x:c r="I131" s="32" t="str">
        <x:f>IF(A131="","",G131+H131)</x:f>
      </x:c>
      <x:c r="J131" s="22" t="str">
        <x:f>IF(A131="","",((F131-E131)*24)-(I131/60))</x:f>
      </x:c>
      <x:c r="K131" s="22" t="str">
        <x:f>IF(A131="","",MIN(J131,8))</x:f>
      </x:c>
      <x:c r="L131" s="22" t="str">
        <x:f>IF(A131="","",MAX(J131-8,0))</x:f>
      </x:c>
      <x:c r="M131" s="20" t="str">
        <x:f>IF(A131="","",K131*Settings!$B$5)</x:f>
      </x:c>
      <x:c r="N131" s="20" t="str">
        <x:f>IF(A131="","",L131*Settings!$B$6)</x:f>
      </x:c>
      <x:c r="O131" s="22"/>
      <x:c r="P131" s="22"/>
      <x:c r="Q131" s="22" t="str">
        <x:f>IF(A131="","",MAX(O131-Settings!$B$7,0))</x:f>
      </x:c>
      <x:c r="R131" s="20" t="str">
        <x:f>IF(A131="","",Q131*Settings!$B$8)</x:f>
      </x:c>
      <x:c r="S131" s="20" t="str">
        <x:f>IF(A131="","",M131+N131)</x:f>
      </x:c>
      <x:c r="T131" s="20" t="str">
        <x:f>IF(A131="","",S131+R131)</x:f>
      </x:c>
    </x:row>
    <x:row r="132">
      <x:c r="A132" s="26"/>
      <x:c r="B132" s="26" t="str">
        <x:f>IF(A132="","",A132-MOD(WEEKDAY(A132,2)-5,7))</x:f>
      </x:c>
      <x:c r="C132" s="26" t="str">
        <x:f>IF(B132="","",B132+7)</x:f>
      </x:c>
      <x:c r="D132" t="str">
        <x:f>IF(A132="","",TEXT(A132,"dddd"))</x:f>
      </x:c>
      <x:c r="E132" s="24"/>
      <x:c r="F132" s="24"/>
      <x:c r="G132" s="32" t="n">
        <x:f>IF(AND(E132&lt;Settings!$B$11,F132&gt;Settings!$B$11),Settings!$B$12,0)</x:f>
        <x:v>0</x:v>
      </x:c>
      <x:c r="H132" s="32" t="n">
        <x:f>IF(AND(E132&lt;Settings!$B$13,F132&gt;Settings!$B$13),Settings!$B$14,0)</x:f>
        <x:v>0</x:v>
      </x:c>
      <x:c r="I132" s="32" t="str">
        <x:f>IF(A132="","",G132+H132)</x:f>
      </x:c>
      <x:c r="J132" s="22" t="str">
        <x:f>IF(A132="","",((F132-E132)*24)-(I132/60))</x:f>
      </x:c>
      <x:c r="K132" s="22" t="str">
        <x:f>IF(A132="","",MIN(J132,8))</x:f>
      </x:c>
      <x:c r="L132" s="22" t="str">
        <x:f>IF(A132="","",MAX(J132-8,0))</x:f>
      </x:c>
      <x:c r="M132" s="20" t="str">
        <x:f>IF(A132="","",K132*Settings!$B$5)</x:f>
      </x:c>
      <x:c r="N132" s="20" t="str">
        <x:f>IF(A132="","",L132*Settings!$B$6)</x:f>
      </x:c>
      <x:c r="O132" s="22"/>
      <x:c r="P132" s="22"/>
      <x:c r="Q132" s="22" t="str">
        <x:f>IF(A132="","",MAX(O132-Settings!$B$7,0))</x:f>
      </x:c>
      <x:c r="R132" s="20" t="str">
        <x:f>IF(A132="","",Q132*Settings!$B$8)</x:f>
      </x:c>
      <x:c r="S132" s="20" t="str">
        <x:f>IF(A132="","",M132+N132)</x:f>
      </x:c>
      <x:c r="T132" s="20" t="str">
        <x:f>IF(A132="","",S132+R132)</x:f>
      </x:c>
    </x:row>
    <x:row r="133">
      <x:c r="A133" s="26"/>
      <x:c r="B133" s="26" t="str">
        <x:f>IF(A133="","",A133-MOD(WEEKDAY(A133,2)-5,7))</x:f>
      </x:c>
      <x:c r="C133" s="26" t="str">
        <x:f>IF(B133="","",B133+7)</x:f>
      </x:c>
      <x:c r="D133" t="str">
        <x:f>IF(A133="","",TEXT(A133,"dddd"))</x:f>
      </x:c>
      <x:c r="E133" s="24"/>
      <x:c r="F133" s="24"/>
      <x:c r="G133" s="32" t="n">
        <x:f>IF(AND(E133&lt;Settings!$B$11,F133&gt;Settings!$B$11),Settings!$B$12,0)</x:f>
        <x:v>0</x:v>
      </x:c>
      <x:c r="H133" s="32" t="n">
        <x:f>IF(AND(E133&lt;Settings!$B$13,F133&gt;Settings!$B$13),Settings!$B$14,0)</x:f>
        <x:v>0</x:v>
      </x:c>
      <x:c r="I133" s="32" t="str">
        <x:f>IF(A133="","",G133+H133)</x:f>
      </x:c>
      <x:c r="J133" s="22" t="str">
        <x:f>IF(A133="","",((F133-E133)*24)-(I133/60))</x:f>
      </x:c>
      <x:c r="K133" s="22" t="str">
        <x:f>IF(A133="","",MIN(J133,8))</x:f>
      </x:c>
      <x:c r="L133" s="22" t="str">
        <x:f>IF(A133="","",MAX(J133-8,0))</x:f>
      </x:c>
      <x:c r="M133" s="20" t="str">
        <x:f>IF(A133="","",K133*Settings!$B$5)</x:f>
      </x:c>
      <x:c r="N133" s="20" t="str">
        <x:f>IF(A133="","",L133*Settings!$B$6)</x:f>
      </x:c>
      <x:c r="O133" s="22"/>
      <x:c r="P133" s="22"/>
      <x:c r="Q133" s="22" t="str">
        <x:f>IF(A133="","",MAX(O133-Settings!$B$7,0))</x:f>
      </x:c>
      <x:c r="R133" s="20" t="str">
        <x:f>IF(A133="","",Q133*Settings!$B$8)</x:f>
      </x:c>
      <x:c r="S133" s="20" t="str">
        <x:f>IF(A133="","",M133+N133)</x:f>
      </x:c>
      <x:c r="T133" s="20" t="str">
        <x:f>IF(A133="","",S133+R133)</x:f>
      </x:c>
    </x:row>
    <x:row r="134">
      <x:c r="A134" s="26"/>
      <x:c r="B134" s="26" t="str">
        <x:f>IF(A134="","",A134-MOD(WEEKDAY(A134,2)-5,7))</x:f>
      </x:c>
      <x:c r="C134" s="26" t="str">
        <x:f>IF(B134="","",B134+7)</x:f>
      </x:c>
      <x:c r="D134" t="str">
        <x:f>IF(A134="","",TEXT(A134,"dddd"))</x:f>
      </x:c>
      <x:c r="E134" s="24"/>
      <x:c r="F134" s="24"/>
      <x:c r="G134" s="32" t="n">
        <x:f>IF(AND(E134&lt;Settings!$B$11,F134&gt;Settings!$B$11),Settings!$B$12,0)</x:f>
        <x:v>0</x:v>
      </x:c>
      <x:c r="H134" s="32" t="n">
        <x:f>IF(AND(E134&lt;Settings!$B$13,F134&gt;Settings!$B$13),Settings!$B$14,0)</x:f>
        <x:v>0</x:v>
      </x:c>
      <x:c r="I134" s="32" t="str">
        <x:f>IF(A134="","",G134+H134)</x:f>
      </x:c>
      <x:c r="J134" s="22" t="str">
        <x:f>IF(A134="","",((F134-E134)*24)-(I134/60))</x:f>
      </x:c>
      <x:c r="K134" s="22" t="str">
        <x:f>IF(A134="","",MIN(J134,8))</x:f>
      </x:c>
      <x:c r="L134" s="22" t="str">
        <x:f>IF(A134="","",MAX(J134-8,0))</x:f>
      </x:c>
      <x:c r="M134" s="20" t="str">
        <x:f>IF(A134="","",K134*Settings!$B$5)</x:f>
      </x:c>
      <x:c r="N134" s="20" t="str">
        <x:f>IF(A134="","",L134*Settings!$B$6)</x:f>
      </x:c>
      <x:c r="O134" s="22"/>
      <x:c r="P134" s="22"/>
      <x:c r="Q134" s="22" t="str">
        <x:f>IF(A134="","",MAX(O134-Settings!$B$7,0))</x:f>
      </x:c>
      <x:c r="R134" s="20" t="str">
        <x:f>IF(A134="","",Q134*Settings!$B$8)</x:f>
      </x:c>
      <x:c r="S134" s="20" t="str">
        <x:f>IF(A134="","",M134+N134)</x:f>
      </x:c>
      <x:c r="T134" s="20" t="str">
        <x:f>IF(A134="","",S134+R134)</x:f>
      </x:c>
    </x:row>
    <x:row r="135">
      <x:c r="A135" s="26"/>
      <x:c r="B135" s="26" t="str">
        <x:f>IF(A135="","",A135-MOD(WEEKDAY(A135,2)-5,7))</x:f>
      </x:c>
      <x:c r="C135" s="26" t="str">
        <x:f>IF(B135="","",B135+7)</x:f>
      </x:c>
      <x:c r="D135" t="str">
        <x:f>IF(A135="","",TEXT(A135,"dddd"))</x:f>
      </x:c>
      <x:c r="E135" s="24"/>
      <x:c r="F135" s="24"/>
      <x:c r="G135" s="32" t="n">
        <x:f>IF(AND(E135&lt;Settings!$B$11,F135&gt;Settings!$B$11),Settings!$B$12,0)</x:f>
        <x:v>0</x:v>
      </x:c>
      <x:c r="H135" s="32" t="n">
        <x:f>IF(AND(E135&lt;Settings!$B$13,F135&gt;Settings!$B$13),Settings!$B$14,0)</x:f>
        <x:v>0</x:v>
      </x:c>
      <x:c r="I135" s="32" t="str">
        <x:f>IF(A135="","",G135+H135)</x:f>
      </x:c>
      <x:c r="J135" s="22" t="str">
        <x:f>IF(A135="","",((F135-E135)*24)-(I135/60))</x:f>
      </x:c>
      <x:c r="K135" s="22" t="str">
        <x:f>IF(A135="","",MIN(J135,8))</x:f>
      </x:c>
      <x:c r="L135" s="22" t="str">
        <x:f>IF(A135="","",MAX(J135-8,0))</x:f>
      </x:c>
      <x:c r="M135" s="20" t="str">
        <x:f>IF(A135="","",K135*Settings!$B$5)</x:f>
      </x:c>
      <x:c r="N135" s="20" t="str">
        <x:f>IF(A135="","",L135*Settings!$B$6)</x:f>
      </x:c>
      <x:c r="O135" s="22"/>
      <x:c r="P135" s="22"/>
      <x:c r="Q135" s="22" t="str">
        <x:f>IF(A135="","",MAX(O135-Settings!$B$7,0))</x:f>
      </x:c>
      <x:c r="R135" s="20" t="str">
        <x:f>IF(A135="","",Q135*Settings!$B$8)</x:f>
      </x:c>
      <x:c r="S135" s="20" t="str">
        <x:f>IF(A135="","",M135+N135)</x:f>
      </x:c>
      <x:c r="T135" s="20" t="str">
        <x:f>IF(A135="","",S135+R135)</x:f>
      </x:c>
    </x:row>
    <x:row r="136">
      <x:c r="A136" s="26"/>
      <x:c r="B136" s="26" t="str">
        <x:f>IF(A136="","",A136-MOD(WEEKDAY(A136,2)-5,7))</x:f>
      </x:c>
      <x:c r="C136" s="26" t="str">
        <x:f>IF(B136="","",B136+7)</x:f>
      </x:c>
      <x:c r="D136" t="str">
        <x:f>IF(A136="","",TEXT(A136,"dddd"))</x:f>
      </x:c>
      <x:c r="E136" s="24"/>
      <x:c r="F136" s="24"/>
      <x:c r="G136" s="32" t="n">
        <x:f>IF(AND(E136&lt;Settings!$B$11,F136&gt;Settings!$B$11),Settings!$B$12,0)</x:f>
        <x:v>0</x:v>
      </x:c>
      <x:c r="H136" s="32" t="n">
        <x:f>IF(AND(E136&lt;Settings!$B$13,F136&gt;Settings!$B$13),Settings!$B$14,0)</x:f>
        <x:v>0</x:v>
      </x:c>
      <x:c r="I136" s="32" t="str">
        <x:f>IF(A136="","",G136+H136)</x:f>
      </x:c>
      <x:c r="J136" s="22" t="str">
        <x:f>IF(A136="","",((F136-E136)*24)-(I136/60))</x:f>
      </x:c>
      <x:c r="K136" s="22" t="str">
        <x:f>IF(A136="","",MIN(J136,8))</x:f>
      </x:c>
      <x:c r="L136" s="22" t="str">
        <x:f>IF(A136="","",MAX(J136-8,0))</x:f>
      </x:c>
      <x:c r="M136" s="20" t="str">
        <x:f>IF(A136="","",K136*Settings!$B$5)</x:f>
      </x:c>
      <x:c r="N136" s="20" t="str">
        <x:f>IF(A136="","",L136*Settings!$B$6)</x:f>
      </x:c>
      <x:c r="O136" s="22"/>
      <x:c r="P136" s="22"/>
      <x:c r="Q136" s="22" t="str">
        <x:f>IF(A136="","",MAX(O136-Settings!$B$7,0))</x:f>
      </x:c>
      <x:c r="R136" s="20" t="str">
        <x:f>IF(A136="","",Q136*Settings!$B$8)</x:f>
      </x:c>
      <x:c r="S136" s="20" t="str">
        <x:f>IF(A136="","",M136+N136)</x:f>
      </x:c>
      <x:c r="T136" s="20" t="str">
        <x:f>IF(A136="","",S136+R136)</x:f>
      </x:c>
    </x:row>
    <x:row r="137">
      <x:c r="A137" s="26"/>
      <x:c r="B137" s="26" t="str">
        <x:f>IF(A137="","",A137-MOD(WEEKDAY(A137,2)-5,7))</x:f>
      </x:c>
      <x:c r="C137" s="26" t="str">
        <x:f>IF(B137="","",B137+7)</x:f>
      </x:c>
      <x:c r="D137" t="str">
        <x:f>IF(A137="","",TEXT(A137,"dddd"))</x:f>
      </x:c>
      <x:c r="E137" s="24"/>
      <x:c r="F137" s="24"/>
      <x:c r="G137" s="32" t="n">
        <x:f>IF(AND(E137&lt;Settings!$B$11,F137&gt;Settings!$B$11),Settings!$B$12,0)</x:f>
        <x:v>0</x:v>
      </x:c>
      <x:c r="H137" s="32" t="n">
        <x:f>IF(AND(E137&lt;Settings!$B$13,F137&gt;Settings!$B$13),Settings!$B$14,0)</x:f>
        <x:v>0</x:v>
      </x:c>
      <x:c r="I137" s="32" t="str">
        <x:f>IF(A137="","",G137+H137)</x:f>
      </x:c>
      <x:c r="J137" s="22" t="str">
        <x:f>IF(A137="","",((F137-E137)*24)-(I137/60))</x:f>
      </x:c>
      <x:c r="K137" s="22" t="str">
        <x:f>IF(A137="","",MIN(J137,8))</x:f>
      </x:c>
      <x:c r="L137" s="22" t="str">
        <x:f>IF(A137="","",MAX(J137-8,0))</x:f>
      </x:c>
      <x:c r="M137" s="20" t="str">
        <x:f>IF(A137="","",K137*Settings!$B$5)</x:f>
      </x:c>
      <x:c r="N137" s="20" t="str">
        <x:f>IF(A137="","",L137*Settings!$B$6)</x:f>
      </x:c>
      <x:c r="O137" s="22"/>
      <x:c r="P137" s="22"/>
      <x:c r="Q137" s="22" t="str">
        <x:f>IF(A137="","",MAX(O137-Settings!$B$7,0))</x:f>
      </x:c>
      <x:c r="R137" s="20" t="str">
        <x:f>IF(A137="","",Q137*Settings!$B$8)</x:f>
      </x:c>
      <x:c r="S137" s="20" t="str">
        <x:f>IF(A137="","",M137+N137)</x:f>
      </x:c>
      <x:c r="T137" s="20" t="str">
        <x:f>IF(A137="","",S137+R137)</x:f>
      </x:c>
    </x:row>
    <x:row r="138">
      <x:c r="A138" s="26"/>
      <x:c r="B138" s="26" t="str">
        <x:f>IF(A138="","",A138-MOD(WEEKDAY(A138,2)-5,7))</x:f>
      </x:c>
      <x:c r="C138" s="26" t="str">
        <x:f>IF(B138="","",B138+7)</x:f>
      </x:c>
      <x:c r="D138" t="str">
        <x:f>IF(A138="","",TEXT(A138,"dddd"))</x:f>
      </x:c>
      <x:c r="E138" s="24"/>
      <x:c r="F138" s="24"/>
      <x:c r="G138" s="32" t="n">
        <x:f>IF(AND(E138&lt;Settings!$B$11,F138&gt;Settings!$B$11),Settings!$B$12,0)</x:f>
        <x:v>0</x:v>
      </x:c>
      <x:c r="H138" s="32" t="n">
        <x:f>IF(AND(E138&lt;Settings!$B$13,F138&gt;Settings!$B$13),Settings!$B$14,0)</x:f>
        <x:v>0</x:v>
      </x:c>
      <x:c r="I138" s="32" t="str">
        <x:f>IF(A138="","",G138+H138)</x:f>
      </x:c>
      <x:c r="J138" s="22" t="str">
        <x:f>IF(A138="","",((F138-E138)*24)-(I138/60))</x:f>
      </x:c>
      <x:c r="K138" s="22" t="str">
        <x:f>IF(A138="","",MIN(J138,8))</x:f>
      </x:c>
      <x:c r="L138" s="22" t="str">
        <x:f>IF(A138="","",MAX(J138-8,0))</x:f>
      </x:c>
      <x:c r="M138" s="20" t="str">
        <x:f>IF(A138="","",K138*Settings!$B$5)</x:f>
      </x:c>
      <x:c r="N138" s="20" t="str">
        <x:f>IF(A138="","",L138*Settings!$B$6)</x:f>
      </x:c>
      <x:c r="O138" s="22"/>
      <x:c r="P138" s="22"/>
      <x:c r="Q138" s="22" t="str">
        <x:f>IF(A138="","",MAX(O138-Settings!$B$7,0))</x:f>
      </x:c>
      <x:c r="R138" s="20" t="str">
        <x:f>IF(A138="","",Q138*Settings!$B$8)</x:f>
      </x:c>
      <x:c r="S138" s="20" t="str">
        <x:f>IF(A138="","",M138+N138)</x:f>
      </x:c>
      <x:c r="T138" s="20" t="str">
        <x:f>IF(A138="","",S138+R138)</x:f>
      </x:c>
    </x:row>
    <x:row r="139">
      <x:c r="A139" s="26"/>
      <x:c r="B139" s="26" t="str">
        <x:f>IF(A139="","",A139-MOD(WEEKDAY(A139,2)-5,7))</x:f>
      </x:c>
      <x:c r="C139" s="26" t="str">
        <x:f>IF(B139="","",B139+7)</x:f>
      </x:c>
      <x:c r="D139" t="str">
        <x:f>IF(A139="","",TEXT(A139,"dddd"))</x:f>
      </x:c>
      <x:c r="E139" s="24"/>
      <x:c r="F139" s="24"/>
      <x:c r="G139" s="32" t="n">
        <x:f>IF(AND(E139&lt;Settings!$B$11,F139&gt;Settings!$B$11),Settings!$B$12,0)</x:f>
        <x:v>0</x:v>
      </x:c>
      <x:c r="H139" s="32" t="n">
        <x:f>IF(AND(E139&lt;Settings!$B$13,F139&gt;Settings!$B$13),Settings!$B$14,0)</x:f>
        <x:v>0</x:v>
      </x:c>
      <x:c r="I139" s="32" t="str">
        <x:f>IF(A139="","",G139+H139)</x:f>
      </x:c>
      <x:c r="J139" s="22" t="str">
        <x:f>IF(A139="","",((F139-E139)*24)-(I139/60))</x:f>
      </x:c>
      <x:c r="K139" s="22" t="str">
        <x:f>IF(A139="","",MIN(J139,8))</x:f>
      </x:c>
      <x:c r="L139" s="22" t="str">
        <x:f>IF(A139="","",MAX(J139-8,0))</x:f>
      </x:c>
      <x:c r="M139" s="20" t="str">
        <x:f>IF(A139="","",K139*Settings!$B$5)</x:f>
      </x:c>
      <x:c r="N139" s="20" t="str">
        <x:f>IF(A139="","",L139*Settings!$B$6)</x:f>
      </x:c>
      <x:c r="O139" s="22"/>
      <x:c r="P139" s="22"/>
      <x:c r="Q139" s="22" t="str">
        <x:f>IF(A139="","",MAX(O139-Settings!$B$7,0))</x:f>
      </x:c>
      <x:c r="R139" s="20" t="str">
        <x:f>IF(A139="","",Q139*Settings!$B$8)</x:f>
      </x:c>
      <x:c r="S139" s="20" t="str">
        <x:f>IF(A139="","",M139+N139)</x:f>
      </x:c>
      <x:c r="T139" s="20" t="str">
        <x:f>IF(A139="","",S139+R139)</x:f>
      </x:c>
    </x:row>
    <x:row r="140">
      <x:c r="A140" s="26"/>
      <x:c r="B140" s="26" t="str">
        <x:f>IF(A140="","",A140-MOD(WEEKDAY(A140,2)-5,7))</x:f>
      </x:c>
      <x:c r="C140" s="26" t="str">
        <x:f>IF(B140="","",B140+7)</x:f>
      </x:c>
      <x:c r="D140" t="str">
        <x:f>IF(A140="","",TEXT(A140,"dddd"))</x:f>
      </x:c>
      <x:c r="E140" s="24"/>
      <x:c r="F140" s="24"/>
      <x:c r="G140" s="32" t="n">
        <x:f>IF(AND(E140&lt;Settings!$B$11,F140&gt;Settings!$B$11),Settings!$B$12,0)</x:f>
        <x:v>0</x:v>
      </x:c>
      <x:c r="H140" s="32" t="n">
        <x:f>IF(AND(E140&lt;Settings!$B$13,F140&gt;Settings!$B$13),Settings!$B$14,0)</x:f>
        <x:v>0</x:v>
      </x:c>
      <x:c r="I140" s="32" t="str">
        <x:f>IF(A140="","",G140+H140)</x:f>
      </x:c>
      <x:c r="J140" s="22" t="str">
        <x:f>IF(A140="","",((F140-E140)*24)-(I140/60))</x:f>
      </x:c>
      <x:c r="K140" s="22" t="str">
        <x:f>IF(A140="","",MIN(J140,8))</x:f>
      </x:c>
      <x:c r="L140" s="22" t="str">
        <x:f>IF(A140="","",MAX(J140-8,0))</x:f>
      </x:c>
      <x:c r="M140" s="20" t="str">
        <x:f>IF(A140="","",K140*Settings!$B$5)</x:f>
      </x:c>
      <x:c r="N140" s="20" t="str">
        <x:f>IF(A140="","",L140*Settings!$B$6)</x:f>
      </x:c>
      <x:c r="O140" s="22"/>
      <x:c r="P140" s="22"/>
      <x:c r="Q140" s="22" t="str">
        <x:f>IF(A140="","",MAX(O140-Settings!$B$7,0))</x:f>
      </x:c>
      <x:c r="R140" s="20" t="str">
        <x:f>IF(A140="","",Q140*Settings!$B$8)</x:f>
      </x:c>
      <x:c r="S140" s="20" t="str">
        <x:f>IF(A140="","",M140+N140)</x:f>
      </x:c>
      <x:c r="T140" s="20" t="str">
        <x:f>IF(A140="","",S140+R140)</x:f>
      </x:c>
    </x:row>
    <x:row r="141">
      <x:c r="A141" s="26"/>
      <x:c r="B141" s="26" t="str">
        <x:f>IF(A141="","",A141-MOD(WEEKDAY(A141,2)-5,7))</x:f>
      </x:c>
      <x:c r="C141" s="26" t="str">
        <x:f>IF(B141="","",B141+7)</x:f>
      </x:c>
      <x:c r="D141" t="str">
        <x:f>IF(A141="","",TEXT(A141,"dddd"))</x:f>
      </x:c>
      <x:c r="E141" s="24"/>
      <x:c r="F141" s="24"/>
      <x:c r="G141" s="32" t="n">
        <x:f>IF(AND(E141&lt;Settings!$B$11,F141&gt;Settings!$B$11),Settings!$B$12,0)</x:f>
        <x:v>0</x:v>
      </x:c>
      <x:c r="H141" s="32" t="n">
        <x:f>IF(AND(E141&lt;Settings!$B$13,F141&gt;Settings!$B$13),Settings!$B$14,0)</x:f>
        <x:v>0</x:v>
      </x:c>
      <x:c r="I141" s="32" t="str">
        <x:f>IF(A141="","",G141+H141)</x:f>
      </x:c>
      <x:c r="J141" s="22" t="str">
        <x:f>IF(A141="","",((F141-E141)*24)-(I141/60))</x:f>
      </x:c>
      <x:c r="K141" s="22" t="str">
        <x:f>IF(A141="","",MIN(J141,8))</x:f>
      </x:c>
      <x:c r="L141" s="22" t="str">
        <x:f>IF(A141="","",MAX(J141-8,0))</x:f>
      </x:c>
      <x:c r="M141" s="20" t="str">
        <x:f>IF(A141="","",K141*Settings!$B$5)</x:f>
      </x:c>
      <x:c r="N141" s="20" t="str">
        <x:f>IF(A141="","",L141*Settings!$B$6)</x:f>
      </x:c>
      <x:c r="O141" s="22"/>
      <x:c r="P141" s="22"/>
      <x:c r="Q141" s="22" t="str">
        <x:f>IF(A141="","",MAX(O141-Settings!$B$7,0))</x:f>
      </x:c>
      <x:c r="R141" s="20" t="str">
        <x:f>IF(A141="","",Q141*Settings!$B$8)</x:f>
      </x:c>
      <x:c r="S141" s="20" t="str">
        <x:f>IF(A141="","",M141+N141)</x:f>
      </x:c>
      <x:c r="T141" s="20" t="str">
        <x:f>IF(A141="","",S141+R141)</x:f>
      </x:c>
    </x:row>
    <x:row r="142">
      <x:c r="A142" s="26"/>
      <x:c r="B142" s="26" t="str">
        <x:f>IF(A142="","",A142-MOD(WEEKDAY(A142,2)-5,7))</x:f>
      </x:c>
      <x:c r="C142" s="26" t="str">
        <x:f>IF(B142="","",B142+7)</x:f>
      </x:c>
      <x:c r="D142" t="str">
        <x:f>IF(A142="","",TEXT(A142,"dddd"))</x:f>
      </x:c>
      <x:c r="E142" s="24"/>
      <x:c r="F142" s="24"/>
      <x:c r="G142" s="32" t="n">
        <x:f>IF(AND(E142&lt;Settings!$B$11,F142&gt;Settings!$B$11),Settings!$B$12,0)</x:f>
        <x:v>0</x:v>
      </x:c>
      <x:c r="H142" s="32" t="n">
        <x:f>IF(AND(E142&lt;Settings!$B$13,F142&gt;Settings!$B$13),Settings!$B$14,0)</x:f>
        <x:v>0</x:v>
      </x:c>
      <x:c r="I142" s="32" t="str">
        <x:f>IF(A142="","",G142+H142)</x:f>
      </x:c>
      <x:c r="J142" s="22" t="str">
        <x:f>IF(A142="","",((F142-E142)*24)-(I142/60))</x:f>
      </x:c>
      <x:c r="K142" s="22" t="str">
        <x:f>IF(A142="","",MIN(J142,8))</x:f>
      </x:c>
      <x:c r="L142" s="22" t="str">
        <x:f>IF(A142="","",MAX(J142-8,0))</x:f>
      </x:c>
      <x:c r="M142" s="20" t="str">
        <x:f>IF(A142="","",K142*Settings!$B$5)</x:f>
      </x:c>
      <x:c r="N142" s="20" t="str">
        <x:f>IF(A142="","",L142*Settings!$B$6)</x:f>
      </x:c>
      <x:c r="O142" s="22"/>
      <x:c r="P142" s="22"/>
      <x:c r="Q142" s="22" t="str">
        <x:f>IF(A142="","",MAX(O142-Settings!$B$7,0))</x:f>
      </x:c>
      <x:c r="R142" s="20" t="str">
        <x:f>IF(A142="","",Q142*Settings!$B$8)</x:f>
      </x:c>
      <x:c r="S142" s="20" t="str">
        <x:f>IF(A142="","",M142+N142)</x:f>
      </x:c>
      <x:c r="T142" s="20" t="str">
        <x:f>IF(A142="","",S142+R142)</x:f>
      </x:c>
    </x:row>
    <x:row r="143">
      <x:c r="A143" s="26"/>
      <x:c r="B143" s="26" t="str">
        <x:f>IF(A143="","",A143-MOD(WEEKDAY(A143,2)-5,7))</x:f>
      </x:c>
      <x:c r="C143" s="26" t="str">
        <x:f>IF(B143="","",B143+7)</x:f>
      </x:c>
      <x:c r="D143" t="str">
        <x:f>IF(A143="","",TEXT(A143,"dddd"))</x:f>
      </x:c>
      <x:c r="E143" s="24"/>
      <x:c r="F143" s="24"/>
      <x:c r="G143" s="32" t="n">
        <x:f>IF(AND(E143&lt;Settings!$B$11,F143&gt;Settings!$B$11),Settings!$B$12,0)</x:f>
        <x:v>0</x:v>
      </x:c>
      <x:c r="H143" s="32" t="n">
        <x:f>IF(AND(E143&lt;Settings!$B$13,F143&gt;Settings!$B$13),Settings!$B$14,0)</x:f>
        <x:v>0</x:v>
      </x:c>
      <x:c r="I143" s="32" t="str">
        <x:f>IF(A143="","",G143+H143)</x:f>
      </x:c>
      <x:c r="J143" s="22" t="str">
        <x:f>IF(A143="","",((F143-E143)*24)-(I143/60))</x:f>
      </x:c>
      <x:c r="K143" s="22" t="str">
        <x:f>IF(A143="","",MIN(J143,8))</x:f>
      </x:c>
      <x:c r="L143" s="22" t="str">
        <x:f>IF(A143="","",MAX(J143-8,0))</x:f>
      </x:c>
      <x:c r="M143" s="20" t="str">
        <x:f>IF(A143="","",K143*Settings!$B$5)</x:f>
      </x:c>
      <x:c r="N143" s="20" t="str">
        <x:f>IF(A143="","",L143*Settings!$B$6)</x:f>
      </x:c>
      <x:c r="O143" s="22"/>
      <x:c r="P143" s="22"/>
      <x:c r="Q143" s="22" t="str">
        <x:f>IF(A143="","",MAX(O143-Settings!$B$7,0))</x:f>
      </x:c>
      <x:c r="R143" s="20" t="str">
        <x:f>IF(A143="","",Q143*Settings!$B$8)</x:f>
      </x:c>
      <x:c r="S143" s="20" t="str">
        <x:f>IF(A143="","",M143+N143)</x:f>
      </x:c>
      <x:c r="T143" s="20" t="str">
        <x:f>IF(A143="","",S143+R143)</x:f>
      </x:c>
    </x:row>
    <x:row r="144">
      <x:c r="A144" s="26"/>
      <x:c r="B144" s="26" t="str">
        <x:f>IF(A144="","",A144-MOD(WEEKDAY(A144,2)-5,7))</x:f>
      </x:c>
      <x:c r="C144" s="26" t="str">
        <x:f>IF(B144="","",B144+7)</x:f>
      </x:c>
      <x:c r="D144" t="str">
        <x:f>IF(A144="","",TEXT(A144,"dddd"))</x:f>
      </x:c>
      <x:c r="E144" s="24"/>
      <x:c r="F144" s="24"/>
      <x:c r="G144" s="32" t="n">
        <x:f>IF(AND(E144&lt;Settings!$B$11,F144&gt;Settings!$B$11),Settings!$B$12,0)</x:f>
        <x:v>0</x:v>
      </x:c>
      <x:c r="H144" s="32" t="n">
        <x:f>IF(AND(E144&lt;Settings!$B$13,F144&gt;Settings!$B$13),Settings!$B$14,0)</x:f>
        <x:v>0</x:v>
      </x:c>
      <x:c r="I144" s="32" t="str">
        <x:f>IF(A144="","",G144+H144)</x:f>
      </x:c>
      <x:c r="J144" s="22" t="str">
        <x:f>IF(A144="","",((F144-E144)*24)-(I144/60))</x:f>
      </x:c>
      <x:c r="K144" s="22" t="str">
        <x:f>IF(A144="","",MIN(J144,8))</x:f>
      </x:c>
      <x:c r="L144" s="22" t="str">
        <x:f>IF(A144="","",MAX(J144-8,0))</x:f>
      </x:c>
      <x:c r="M144" s="20" t="str">
        <x:f>IF(A144="","",K144*Settings!$B$5)</x:f>
      </x:c>
      <x:c r="N144" s="20" t="str">
        <x:f>IF(A144="","",L144*Settings!$B$6)</x:f>
      </x:c>
      <x:c r="O144" s="22"/>
      <x:c r="P144" s="22"/>
      <x:c r="Q144" s="22" t="str">
        <x:f>IF(A144="","",MAX(O144-Settings!$B$7,0))</x:f>
      </x:c>
      <x:c r="R144" s="20" t="str">
        <x:f>IF(A144="","",Q144*Settings!$B$8)</x:f>
      </x:c>
      <x:c r="S144" s="20" t="str">
        <x:f>IF(A144="","",M144+N144)</x:f>
      </x:c>
      <x:c r="T144" s="20" t="str">
        <x:f>IF(A144="","",S144+R144)</x:f>
      </x:c>
    </x:row>
    <x:row r="145">
      <x:c r="A145" s="26"/>
      <x:c r="B145" s="26" t="str">
        <x:f>IF(A145="","",A145-MOD(WEEKDAY(A145,2)-5,7))</x:f>
      </x:c>
      <x:c r="C145" s="26" t="str">
        <x:f>IF(B145="","",B145+7)</x:f>
      </x:c>
      <x:c r="D145" t="str">
        <x:f>IF(A145="","",TEXT(A145,"dddd"))</x:f>
      </x:c>
      <x:c r="E145" s="24"/>
      <x:c r="F145" s="24"/>
      <x:c r="G145" s="32" t="n">
        <x:f>IF(AND(E145&lt;Settings!$B$11,F145&gt;Settings!$B$11),Settings!$B$12,0)</x:f>
        <x:v>0</x:v>
      </x:c>
      <x:c r="H145" s="32" t="n">
        <x:f>IF(AND(E145&lt;Settings!$B$13,F145&gt;Settings!$B$13),Settings!$B$14,0)</x:f>
        <x:v>0</x:v>
      </x:c>
      <x:c r="I145" s="32" t="str">
        <x:f>IF(A145="","",G145+H145)</x:f>
      </x:c>
      <x:c r="J145" s="22" t="str">
        <x:f>IF(A145="","",((F145-E145)*24)-(I145/60))</x:f>
      </x:c>
      <x:c r="K145" s="22" t="str">
        <x:f>IF(A145="","",MIN(J145,8))</x:f>
      </x:c>
      <x:c r="L145" s="22" t="str">
        <x:f>IF(A145="","",MAX(J145-8,0))</x:f>
      </x:c>
      <x:c r="M145" s="20" t="str">
        <x:f>IF(A145="","",K145*Settings!$B$5)</x:f>
      </x:c>
      <x:c r="N145" s="20" t="str">
        <x:f>IF(A145="","",L145*Settings!$B$6)</x:f>
      </x:c>
      <x:c r="O145" s="22"/>
      <x:c r="P145" s="22"/>
      <x:c r="Q145" s="22" t="str">
        <x:f>IF(A145="","",MAX(O145-Settings!$B$7,0))</x:f>
      </x:c>
      <x:c r="R145" s="20" t="str">
        <x:f>IF(A145="","",Q145*Settings!$B$8)</x:f>
      </x:c>
      <x:c r="S145" s="20" t="str">
        <x:f>IF(A145="","",M145+N145)</x:f>
      </x:c>
      <x:c r="T145" s="20" t="str">
        <x:f>IF(A145="","",S145+R145)</x:f>
      </x:c>
    </x:row>
    <x:row r="146">
      <x:c r="A146" s="26"/>
      <x:c r="B146" s="26" t="str">
        <x:f>IF(A146="","",A146-MOD(WEEKDAY(A146,2)-5,7))</x:f>
      </x:c>
      <x:c r="C146" s="26" t="str">
        <x:f>IF(B146="","",B146+7)</x:f>
      </x:c>
      <x:c r="D146" t="str">
        <x:f>IF(A146="","",TEXT(A146,"dddd"))</x:f>
      </x:c>
      <x:c r="E146" s="24"/>
      <x:c r="F146" s="24"/>
      <x:c r="G146" s="32" t="n">
        <x:f>IF(AND(E146&lt;Settings!$B$11,F146&gt;Settings!$B$11),Settings!$B$12,0)</x:f>
        <x:v>0</x:v>
      </x:c>
      <x:c r="H146" s="32" t="n">
        <x:f>IF(AND(E146&lt;Settings!$B$13,F146&gt;Settings!$B$13),Settings!$B$14,0)</x:f>
        <x:v>0</x:v>
      </x:c>
      <x:c r="I146" s="32" t="str">
        <x:f>IF(A146="","",G146+H146)</x:f>
      </x:c>
      <x:c r="J146" s="22" t="str">
        <x:f>IF(A146="","",((F146-E146)*24)-(I146/60))</x:f>
      </x:c>
      <x:c r="K146" s="22" t="str">
        <x:f>IF(A146="","",MIN(J146,8))</x:f>
      </x:c>
      <x:c r="L146" s="22" t="str">
        <x:f>IF(A146="","",MAX(J146-8,0))</x:f>
      </x:c>
      <x:c r="M146" s="20" t="str">
        <x:f>IF(A146="","",K146*Settings!$B$5)</x:f>
      </x:c>
      <x:c r="N146" s="20" t="str">
        <x:f>IF(A146="","",L146*Settings!$B$6)</x:f>
      </x:c>
      <x:c r="O146" s="22"/>
      <x:c r="P146" s="22"/>
      <x:c r="Q146" s="22" t="str">
        <x:f>IF(A146="","",MAX(O146-Settings!$B$7,0))</x:f>
      </x:c>
      <x:c r="R146" s="20" t="str">
        <x:f>IF(A146="","",Q146*Settings!$B$8)</x:f>
      </x:c>
      <x:c r="S146" s="20" t="str">
        <x:f>IF(A146="","",M146+N146)</x:f>
      </x:c>
      <x:c r="T146" s="20" t="str">
        <x:f>IF(A146="","",S146+R146)</x:f>
      </x:c>
    </x:row>
    <x:row r="147">
      <x:c r="A147" s="26"/>
      <x:c r="B147" s="26" t="str">
        <x:f>IF(A147="","",A147-MOD(WEEKDAY(A147,2)-5,7))</x:f>
      </x:c>
      <x:c r="C147" s="26" t="str">
        <x:f>IF(B147="","",B147+7)</x:f>
      </x:c>
      <x:c r="D147" t="str">
        <x:f>IF(A147="","",TEXT(A147,"dddd"))</x:f>
      </x:c>
      <x:c r="E147" s="24"/>
      <x:c r="F147" s="24"/>
      <x:c r="G147" s="32" t="n">
        <x:f>IF(AND(E147&lt;Settings!$B$11,F147&gt;Settings!$B$11),Settings!$B$12,0)</x:f>
        <x:v>0</x:v>
      </x:c>
      <x:c r="H147" s="32" t="n">
        <x:f>IF(AND(E147&lt;Settings!$B$13,F147&gt;Settings!$B$13),Settings!$B$14,0)</x:f>
        <x:v>0</x:v>
      </x:c>
      <x:c r="I147" s="32" t="str">
        <x:f>IF(A147="","",G147+H147)</x:f>
      </x:c>
      <x:c r="J147" s="22" t="str">
        <x:f>IF(A147="","",((F147-E147)*24)-(I147/60))</x:f>
      </x:c>
      <x:c r="K147" s="22" t="str">
        <x:f>IF(A147="","",MIN(J147,8))</x:f>
      </x:c>
      <x:c r="L147" s="22" t="str">
        <x:f>IF(A147="","",MAX(J147-8,0))</x:f>
      </x:c>
      <x:c r="M147" s="20" t="str">
        <x:f>IF(A147="","",K147*Settings!$B$5)</x:f>
      </x:c>
      <x:c r="N147" s="20" t="str">
        <x:f>IF(A147="","",L147*Settings!$B$6)</x:f>
      </x:c>
      <x:c r="O147" s="22"/>
      <x:c r="P147" s="22"/>
      <x:c r="Q147" s="22" t="str">
        <x:f>IF(A147="","",MAX(O147-Settings!$B$7,0))</x:f>
      </x:c>
      <x:c r="R147" s="20" t="str">
        <x:f>IF(A147="","",Q147*Settings!$B$8)</x:f>
      </x:c>
      <x:c r="S147" s="20" t="str">
        <x:f>IF(A147="","",M147+N147)</x:f>
      </x:c>
      <x:c r="T147" s="20" t="str">
        <x:f>IF(A147="","",S147+R147)</x:f>
      </x:c>
    </x:row>
    <x:row r="148">
      <x:c r="A148" s="26"/>
      <x:c r="B148" s="26" t="str">
        <x:f>IF(A148="","",A148-MOD(WEEKDAY(A148,2)-5,7))</x:f>
      </x:c>
      <x:c r="C148" s="26" t="str">
        <x:f>IF(B148="","",B148+7)</x:f>
      </x:c>
      <x:c r="D148" t="str">
        <x:f>IF(A148="","",TEXT(A148,"dddd"))</x:f>
      </x:c>
      <x:c r="E148" s="24"/>
      <x:c r="F148" s="24"/>
      <x:c r="G148" s="32" t="n">
        <x:f>IF(AND(E148&lt;Settings!$B$11,F148&gt;Settings!$B$11),Settings!$B$12,0)</x:f>
        <x:v>0</x:v>
      </x:c>
      <x:c r="H148" s="32" t="n">
        <x:f>IF(AND(E148&lt;Settings!$B$13,F148&gt;Settings!$B$13),Settings!$B$14,0)</x:f>
        <x:v>0</x:v>
      </x:c>
      <x:c r="I148" s="32" t="str">
        <x:f>IF(A148="","",G148+H148)</x:f>
      </x:c>
      <x:c r="J148" s="22" t="str">
        <x:f>IF(A148="","",((F148-E148)*24)-(I148/60))</x:f>
      </x:c>
      <x:c r="K148" s="22" t="str">
        <x:f>IF(A148="","",MIN(J148,8))</x:f>
      </x:c>
      <x:c r="L148" s="22" t="str">
        <x:f>IF(A148="","",MAX(J148-8,0))</x:f>
      </x:c>
      <x:c r="M148" s="20" t="str">
        <x:f>IF(A148="","",K148*Settings!$B$5)</x:f>
      </x:c>
      <x:c r="N148" s="20" t="str">
        <x:f>IF(A148="","",L148*Settings!$B$6)</x:f>
      </x:c>
      <x:c r="O148" s="22"/>
      <x:c r="P148" s="22"/>
      <x:c r="Q148" s="22" t="str">
        <x:f>IF(A148="","",MAX(O148-Settings!$B$7,0))</x:f>
      </x:c>
      <x:c r="R148" s="20" t="str">
        <x:f>IF(A148="","",Q148*Settings!$B$8)</x:f>
      </x:c>
      <x:c r="S148" s="20" t="str">
        <x:f>IF(A148="","",M148+N148)</x:f>
      </x:c>
      <x:c r="T148" s="20" t="str">
        <x:f>IF(A148="","",S148+R148)</x:f>
      </x:c>
    </x:row>
    <x:row r="149">
      <x:c r="A149" s="26"/>
      <x:c r="B149" s="26" t="str">
        <x:f>IF(A149="","",A149-MOD(WEEKDAY(A149,2)-5,7))</x:f>
      </x:c>
      <x:c r="C149" s="26" t="str">
        <x:f>IF(B149="","",B149+7)</x:f>
      </x:c>
      <x:c r="D149" t="str">
        <x:f>IF(A149="","",TEXT(A149,"dddd"))</x:f>
      </x:c>
      <x:c r="E149" s="24"/>
      <x:c r="F149" s="24"/>
      <x:c r="G149" s="32" t="n">
        <x:f>IF(AND(E149&lt;Settings!$B$11,F149&gt;Settings!$B$11),Settings!$B$12,0)</x:f>
        <x:v>0</x:v>
      </x:c>
      <x:c r="H149" s="32" t="n">
        <x:f>IF(AND(E149&lt;Settings!$B$13,F149&gt;Settings!$B$13),Settings!$B$14,0)</x:f>
        <x:v>0</x:v>
      </x:c>
      <x:c r="I149" s="32" t="str">
        <x:f>IF(A149="","",G149+H149)</x:f>
      </x:c>
      <x:c r="J149" s="22" t="str">
        <x:f>IF(A149="","",((F149-E149)*24)-(I149/60))</x:f>
      </x:c>
      <x:c r="K149" s="22" t="str">
        <x:f>IF(A149="","",MIN(J149,8))</x:f>
      </x:c>
      <x:c r="L149" s="22" t="str">
        <x:f>IF(A149="","",MAX(J149-8,0))</x:f>
      </x:c>
      <x:c r="M149" s="20" t="str">
        <x:f>IF(A149="","",K149*Settings!$B$5)</x:f>
      </x:c>
      <x:c r="N149" s="20" t="str">
        <x:f>IF(A149="","",L149*Settings!$B$6)</x:f>
      </x:c>
      <x:c r="O149" s="22"/>
      <x:c r="P149" s="22"/>
      <x:c r="Q149" s="22" t="str">
        <x:f>IF(A149="","",MAX(O149-Settings!$B$7,0))</x:f>
      </x:c>
      <x:c r="R149" s="20" t="str">
        <x:f>IF(A149="","",Q149*Settings!$B$8)</x:f>
      </x:c>
      <x:c r="S149" s="20" t="str">
        <x:f>IF(A149="","",M149+N149)</x:f>
      </x:c>
      <x:c r="T149" s="20" t="str">
        <x:f>IF(A149="","",S149+R149)</x:f>
      </x:c>
    </x:row>
    <x:row r="150">
      <x:c r="A150" s="26"/>
      <x:c r="B150" s="26" t="str">
        <x:f>IF(A150="","",A150-MOD(WEEKDAY(A150,2)-5,7))</x:f>
      </x:c>
      <x:c r="C150" s="26" t="str">
        <x:f>IF(B150="","",B150+7)</x:f>
      </x:c>
      <x:c r="D150" t="str">
        <x:f>IF(A150="","",TEXT(A150,"dddd"))</x:f>
      </x:c>
      <x:c r="E150" s="24"/>
      <x:c r="F150" s="24"/>
      <x:c r="G150" s="32" t="n">
        <x:f>IF(AND(E150&lt;Settings!$B$11,F150&gt;Settings!$B$11),Settings!$B$12,0)</x:f>
        <x:v>0</x:v>
      </x:c>
      <x:c r="H150" s="32" t="n">
        <x:f>IF(AND(E150&lt;Settings!$B$13,F150&gt;Settings!$B$13),Settings!$B$14,0)</x:f>
        <x:v>0</x:v>
      </x:c>
      <x:c r="I150" s="32" t="str">
        <x:f>IF(A150="","",G150+H150)</x:f>
      </x:c>
      <x:c r="J150" s="22" t="str">
        <x:f>IF(A150="","",((F150-E150)*24)-(I150/60))</x:f>
      </x:c>
      <x:c r="K150" s="22" t="str">
        <x:f>IF(A150="","",MIN(J150,8))</x:f>
      </x:c>
      <x:c r="L150" s="22" t="str">
        <x:f>IF(A150="","",MAX(J150-8,0))</x:f>
      </x:c>
      <x:c r="M150" s="20" t="str">
        <x:f>IF(A150="","",K150*Settings!$B$5)</x:f>
      </x:c>
      <x:c r="N150" s="20" t="str">
        <x:f>IF(A150="","",L150*Settings!$B$6)</x:f>
      </x:c>
      <x:c r="O150" s="22"/>
      <x:c r="P150" s="22"/>
      <x:c r="Q150" s="22" t="str">
        <x:f>IF(A150="","",MAX(O150-Settings!$B$7,0))</x:f>
      </x:c>
      <x:c r="R150" s="20" t="str">
        <x:f>IF(A150="","",Q150*Settings!$B$8)</x:f>
      </x:c>
      <x:c r="S150" s="20" t="str">
        <x:f>IF(A150="","",M150+N150)</x:f>
      </x:c>
      <x:c r="T150" s="20" t="str">
        <x:f>IF(A150="","",S150+R150)</x:f>
      </x:c>
    </x:row>
    <x:row r="151">
      <x:c r="A151" s="26"/>
      <x:c r="B151" s="26" t="str">
        <x:f>IF(A151="","",A151-MOD(WEEKDAY(A151,2)-5,7))</x:f>
      </x:c>
      <x:c r="C151" s="26" t="str">
        <x:f>IF(B151="","",B151+7)</x:f>
      </x:c>
      <x:c r="D151" t="str">
        <x:f>IF(A151="","",TEXT(A151,"dddd"))</x:f>
      </x:c>
      <x:c r="E151" s="24"/>
      <x:c r="F151" s="24"/>
      <x:c r="G151" s="32" t="n">
        <x:f>IF(AND(E151&lt;Settings!$B$11,F151&gt;Settings!$B$11),Settings!$B$12,0)</x:f>
        <x:v>0</x:v>
      </x:c>
      <x:c r="H151" s="32" t="n">
        <x:f>IF(AND(E151&lt;Settings!$B$13,F151&gt;Settings!$B$13),Settings!$B$14,0)</x:f>
        <x:v>0</x:v>
      </x:c>
      <x:c r="I151" s="32" t="str">
        <x:f>IF(A151="","",G151+H151)</x:f>
      </x:c>
      <x:c r="J151" s="22" t="str">
        <x:f>IF(A151="","",((F151-E151)*24)-(I151/60))</x:f>
      </x:c>
      <x:c r="K151" s="22" t="str">
        <x:f>IF(A151="","",MIN(J151,8))</x:f>
      </x:c>
      <x:c r="L151" s="22" t="str">
        <x:f>IF(A151="","",MAX(J151-8,0))</x:f>
      </x:c>
      <x:c r="M151" s="20" t="str">
        <x:f>IF(A151="","",K151*Settings!$B$5)</x:f>
      </x:c>
      <x:c r="N151" s="20" t="str">
        <x:f>IF(A151="","",L151*Settings!$B$6)</x:f>
      </x:c>
      <x:c r="O151" s="22"/>
      <x:c r="P151" s="22"/>
      <x:c r="Q151" s="22" t="str">
        <x:f>IF(A151="","",MAX(O151-Settings!$B$7,0))</x:f>
      </x:c>
      <x:c r="R151" s="20" t="str">
        <x:f>IF(A151="","",Q151*Settings!$B$8)</x:f>
      </x:c>
      <x:c r="S151" s="20" t="str">
        <x:f>IF(A151="","",M151+N151)</x:f>
      </x:c>
      <x:c r="T151" s="20" t="str">
        <x:f>IF(A151="","",S151+R151)</x:f>
      </x:c>
    </x:row>
    <x:row r="152">
      <x:c r="A152" s="26"/>
      <x:c r="B152" s="26" t="str">
        <x:f>IF(A152="","",A152-MOD(WEEKDAY(A152,2)-5,7))</x:f>
      </x:c>
      <x:c r="C152" s="26" t="str">
        <x:f>IF(B152="","",B152+7)</x:f>
      </x:c>
      <x:c r="D152" t="str">
        <x:f>IF(A152="","",TEXT(A152,"dddd"))</x:f>
      </x:c>
      <x:c r="E152" s="24"/>
      <x:c r="F152" s="24"/>
      <x:c r="G152" s="32" t="n">
        <x:f>IF(AND(E152&lt;Settings!$B$11,F152&gt;Settings!$B$11),Settings!$B$12,0)</x:f>
        <x:v>0</x:v>
      </x:c>
      <x:c r="H152" s="32" t="n">
        <x:f>IF(AND(E152&lt;Settings!$B$13,F152&gt;Settings!$B$13),Settings!$B$14,0)</x:f>
        <x:v>0</x:v>
      </x:c>
      <x:c r="I152" s="32" t="str">
        <x:f>IF(A152="","",G152+H152)</x:f>
      </x:c>
      <x:c r="J152" s="22" t="str">
        <x:f>IF(A152="","",((F152-E152)*24)-(I152/60))</x:f>
      </x:c>
      <x:c r="K152" s="22" t="str">
        <x:f>IF(A152="","",MIN(J152,8))</x:f>
      </x:c>
      <x:c r="L152" s="22" t="str">
        <x:f>IF(A152="","",MAX(J152-8,0))</x:f>
      </x:c>
      <x:c r="M152" s="20" t="str">
        <x:f>IF(A152="","",K152*Settings!$B$5)</x:f>
      </x:c>
      <x:c r="N152" s="20" t="str">
        <x:f>IF(A152="","",L152*Settings!$B$6)</x:f>
      </x:c>
      <x:c r="O152" s="22"/>
      <x:c r="P152" s="22"/>
      <x:c r="Q152" s="22" t="str">
        <x:f>IF(A152="","",MAX(O152-Settings!$B$7,0))</x:f>
      </x:c>
      <x:c r="R152" s="20" t="str">
        <x:f>IF(A152="","",Q152*Settings!$B$8)</x:f>
      </x:c>
      <x:c r="S152" s="20" t="str">
        <x:f>IF(A152="","",M152+N152)</x:f>
      </x:c>
      <x:c r="T152" s="20" t="str">
        <x:f>IF(A152="","",S152+R152)</x:f>
      </x:c>
    </x:row>
    <x:row r="153">
      <x:c r="A153" s="26"/>
      <x:c r="B153" s="26" t="str">
        <x:f>IF(A153="","",A153-MOD(WEEKDAY(A153,2)-5,7))</x:f>
      </x:c>
      <x:c r="C153" s="26" t="str">
        <x:f>IF(B153="","",B153+7)</x:f>
      </x:c>
      <x:c r="D153" t="str">
        <x:f>IF(A153="","",TEXT(A153,"dddd"))</x:f>
      </x:c>
      <x:c r="E153" s="24"/>
      <x:c r="F153" s="24"/>
      <x:c r="G153" s="32" t="n">
        <x:f>IF(AND(E153&lt;Settings!$B$11,F153&gt;Settings!$B$11),Settings!$B$12,0)</x:f>
        <x:v>0</x:v>
      </x:c>
      <x:c r="H153" s="32" t="n">
        <x:f>IF(AND(E153&lt;Settings!$B$13,F153&gt;Settings!$B$13),Settings!$B$14,0)</x:f>
        <x:v>0</x:v>
      </x:c>
      <x:c r="I153" s="32" t="str">
        <x:f>IF(A153="","",G153+H153)</x:f>
      </x:c>
      <x:c r="J153" s="22" t="str">
        <x:f>IF(A153="","",((F153-E153)*24)-(I153/60))</x:f>
      </x:c>
      <x:c r="K153" s="22" t="str">
        <x:f>IF(A153="","",MIN(J153,8))</x:f>
      </x:c>
      <x:c r="L153" s="22" t="str">
        <x:f>IF(A153="","",MAX(J153-8,0))</x:f>
      </x:c>
      <x:c r="M153" s="20" t="str">
        <x:f>IF(A153="","",K153*Settings!$B$5)</x:f>
      </x:c>
      <x:c r="N153" s="20" t="str">
        <x:f>IF(A153="","",L153*Settings!$B$6)</x:f>
      </x:c>
      <x:c r="O153" s="22"/>
      <x:c r="P153" s="22"/>
      <x:c r="Q153" s="22" t="str">
        <x:f>IF(A153="","",MAX(O153-Settings!$B$7,0))</x:f>
      </x:c>
      <x:c r="R153" s="20" t="str">
        <x:f>IF(A153="","",Q153*Settings!$B$8)</x:f>
      </x:c>
      <x:c r="S153" s="20" t="str">
        <x:f>IF(A153="","",M153+N153)</x:f>
      </x:c>
      <x:c r="T153" s="20" t="str">
        <x:f>IF(A153="","",S153+R153)</x:f>
      </x:c>
    </x:row>
    <x:row r="154">
      <x:c r="A154" s="26"/>
      <x:c r="B154" s="26" t="str">
        <x:f>IF(A154="","",A154-MOD(WEEKDAY(A154,2)-5,7))</x:f>
      </x:c>
      <x:c r="C154" s="26" t="str">
        <x:f>IF(B154="","",B154+7)</x:f>
      </x:c>
      <x:c r="D154" t="str">
        <x:f>IF(A154="","",TEXT(A154,"dddd"))</x:f>
      </x:c>
      <x:c r="E154" s="24"/>
      <x:c r="F154" s="24"/>
      <x:c r="G154" s="32" t="n">
        <x:f>IF(AND(E154&lt;Settings!$B$11,F154&gt;Settings!$B$11),Settings!$B$12,0)</x:f>
        <x:v>0</x:v>
      </x:c>
      <x:c r="H154" s="32" t="n">
        <x:f>IF(AND(E154&lt;Settings!$B$13,F154&gt;Settings!$B$13),Settings!$B$14,0)</x:f>
        <x:v>0</x:v>
      </x:c>
      <x:c r="I154" s="32" t="str">
        <x:f>IF(A154="","",G154+H154)</x:f>
      </x:c>
      <x:c r="J154" s="22" t="str">
        <x:f>IF(A154="","",((F154-E154)*24)-(I154/60))</x:f>
      </x:c>
      <x:c r="K154" s="22" t="str">
        <x:f>IF(A154="","",MIN(J154,8))</x:f>
      </x:c>
      <x:c r="L154" s="22" t="str">
        <x:f>IF(A154="","",MAX(J154-8,0))</x:f>
      </x:c>
      <x:c r="M154" s="20" t="str">
        <x:f>IF(A154="","",K154*Settings!$B$5)</x:f>
      </x:c>
      <x:c r="N154" s="20" t="str">
        <x:f>IF(A154="","",L154*Settings!$B$6)</x:f>
      </x:c>
      <x:c r="O154" s="22"/>
      <x:c r="P154" s="22"/>
      <x:c r="Q154" s="22" t="str">
        <x:f>IF(A154="","",MAX(O154-Settings!$B$7,0))</x:f>
      </x:c>
      <x:c r="R154" s="20" t="str">
        <x:f>IF(A154="","",Q154*Settings!$B$8)</x:f>
      </x:c>
      <x:c r="S154" s="20" t="str">
        <x:f>IF(A154="","",M154+N154)</x:f>
      </x:c>
      <x:c r="T154" s="20" t="str">
        <x:f>IF(A154="","",S154+R154)</x:f>
      </x:c>
    </x:row>
    <x:row r="155">
      <x:c r="A155" s="26"/>
      <x:c r="B155" s="26" t="str">
        <x:f>IF(A155="","",A155-MOD(WEEKDAY(A155,2)-5,7))</x:f>
      </x:c>
      <x:c r="C155" s="26" t="str">
        <x:f>IF(B155="","",B155+7)</x:f>
      </x:c>
      <x:c r="D155" t="str">
        <x:f>IF(A155="","",TEXT(A155,"dddd"))</x:f>
      </x:c>
      <x:c r="E155" s="24"/>
      <x:c r="F155" s="24"/>
      <x:c r="G155" s="32" t="n">
        <x:f>IF(AND(E155&lt;Settings!$B$11,F155&gt;Settings!$B$11),Settings!$B$12,0)</x:f>
        <x:v>0</x:v>
      </x:c>
      <x:c r="H155" s="32" t="n">
        <x:f>IF(AND(E155&lt;Settings!$B$13,F155&gt;Settings!$B$13),Settings!$B$14,0)</x:f>
        <x:v>0</x:v>
      </x:c>
      <x:c r="I155" s="32" t="str">
        <x:f>IF(A155="","",G155+H155)</x:f>
      </x:c>
      <x:c r="J155" s="22" t="str">
        <x:f>IF(A155="","",((F155-E155)*24)-(I155/60))</x:f>
      </x:c>
      <x:c r="K155" s="22" t="str">
        <x:f>IF(A155="","",MIN(J155,8))</x:f>
      </x:c>
      <x:c r="L155" s="22" t="str">
        <x:f>IF(A155="","",MAX(J155-8,0))</x:f>
      </x:c>
      <x:c r="M155" s="20" t="str">
        <x:f>IF(A155="","",K155*Settings!$B$5)</x:f>
      </x:c>
      <x:c r="N155" s="20" t="str">
        <x:f>IF(A155="","",L155*Settings!$B$6)</x:f>
      </x:c>
      <x:c r="O155" s="22"/>
      <x:c r="P155" s="22"/>
      <x:c r="Q155" s="22" t="str">
        <x:f>IF(A155="","",MAX(O155-Settings!$B$7,0))</x:f>
      </x:c>
      <x:c r="R155" s="20" t="str">
        <x:f>IF(A155="","",Q155*Settings!$B$8)</x:f>
      </x:c>
      <x:c r="S155" s="20" t="str">
        <x:f>IF(A155="","",M155+N155)</x:f>
      </x:c>
      <x:c r="T155" s="20" t="str">
        <x:f>IF(A155="","",S155+R155)</x:f>
      </x:c>
    </x:row>
    <x:row r="156">
      <x:c r="A156" s="26"/>
      <x:c r="B156" s="26" t="str">
        <x:f>IF(A156="","",A156-MOD(WEEKDAY(A156,2)-5,7))</x:f>
      </x:c>
      <x:c r="C156" s="26" t="str">
        <x:f>IF(B156="","",B156+7)</x:f>
      </x:c>
      <x:c r="D156" t="str">
        <x:f>IF(A156="","",TEXT(A156,"dddd"))</x:f>
      </x:c>
      <x:c r="E156" s="24"/>
      <x:c r="F156" s="24"/>
      <x:c r="G156" s="32" t="n">
        <x:f>IF(AND(E156&lt;Settings!$B$11,F156&gt;Settings!$B$11),Settings!$B$12,0)</x:f>
        <x:v>0</x:v>
      </x:c>
      <x:c r="H156" s="32" t="n">
        <x:f>IF(AND(E156&lt;Settings!$B$13,F156&gt;Settings!$B$13),Settings!$B$14,0)</x:f>
        <x:v>0</x:v>
      </x:c>
      <x:c r="I156" s="32" t="str">
        <x:f>IF(A156="","",G156+H156)</x:f>
      </x:c>
      <x:c r="J156" s="22" t="str">
        <x:f>IF(A156="","",((F156-E156)*24)-(I156/60))</x:f>
      </x:c>
      <x:c r="K156" s="22" t="str">
        <x:f>IF(A156="","",MIN(J156,8))</x:f>
      </x:c>
      <x:c r="L156" s="22" t="str">
        <x:f>IF(A156="","",MAX(J156-8,0))</x:f>
      </x:c>
      <x:c r="M156" s="20" t="str">
        <x:f>IF(A156="","",K156*Settings!$B$5)</x:f>
      </x:c>
      <x:c r="N156" s="20" t="str">
        <x:f>IF(A156="","",L156*Settings!$B$6)</x:f>
      </x:c>
      <x:c r="O156" s="22"/>
      <x:c r="P156" s="22"/>
      <x:c r="Q156" s="22" t="str">
        <x:f>IF(A156="","",MAX(O156-Settings!$B$7,0))</x:f>
      </x:c>
      <x:c r="R156" s="20" t="str">
        <x:f>IF(A156="","",Q156*Settings!$B$8)</x:f>
      </x:c>
      <x:c r="S156" s="20" t="str">
        <x:f>IF(A156="","",M156+N156)</x:f>
      </x:c>
      <x:c r="T156" s="20" t="str">
        <x:f>IF(A156="","",S156+R156)</x:f>
      </x:c>
    </x:row>
    <x:row r="157">
      <x:c r="A157" s="26"/>
      <x:c r="B157" s="26" t="str">
        <x:f>IF(A157="","",A157-MOD(WEEKDAY(A157,2)-5,7))</x:f>
      </x:c>
      <x:c r="C157" s="26" t="str">
        <x:f>IF(B157="","",B157+7)</x:f>
      </x:c>
      <x:c r="D157" t="str">
        <x:f>IF(A157="","",TEXT(A157,"dddd"))</x:f>
      </x:c>
      <x:c r="E157" s="24"/>
      <x:c r="F157" s="24"/>
      <x:c r="G157" s="32" t="n">
        <x:f>IF(AND(E157&lt;Settings!$B$11,F157&gt;Settings!$B$11),Settings!$B$12,0)</x:f>
        <x:v>0</x:v>
      </x:c>
      <x:c r="H157" s="32" t="n">
        <x:f>IF(AND(E157&lt;Settings!$B$13,F157&gt;Settings!$B$13),Settings!$B$14,0)</x:f>
        <x:v>0</x:v>
      </x:c>
      <x:c r="I157" s="32" t="str">
        <x:f>IF(A157="","",G157+H157)</x:f>
      </x:c>
      <x:c r="J157" s="22" t="str">
        <x:f>IF(A157="","",((F157-E157)*24)-(I157/60))</x:f>
      </x:c>
      <x:c r="K157" s="22" t="str">
        <x:f>IF(A157="","",MIN(J157,8))</x:f>
      </x:c>
      <x:c r="L157" s="22" t="str">
        <x:f>IF(A157="","",MAX(J157-8,0))</x:f>
      </x:c>
      <x:c r="M157" s="20" t="str">
        <x:f>IF(A157="","",K157*Settings!$B$5)</x:f>
      </x:c>
      <x:c r="N157" s="20" t="str">
        <x:f>IF(A157="","",L157*Settings!$B$6)</x:f>
      </x:c>
      <x:c r="O157" s="22"/>
      <x:c r="P157" s="22"/>
      <x:c r="Q157" s="22" t="str">
        <x:f>IF(A157="","",MAX(O157-Settings!$B$7,0))</x:f>
      </x:c>
      <x:c r="R157" s="20" t="str">
        <x:f>IF(A157="","",Q157*Settings!$B$8)</x:f>
      </x:c>
      <x:c r="S157" s="20" t="str">
        <x:f>IF(A157="","",M157+N157)</x:f>
      </x:c>
      <x:c r="T157" s="20" t="str">
        <x:f>IF(A157="","",S157+R157)</x:f>
      </x:c>
    </x:row>
    <x:row r="158">
      <x:c r="A158" s="26"/>
      <x:c r="B158" s="26" t="str">
        <x:f>IF(A158="","",A158-MOD(WEEKDAY(A158,2)-5,7))</x:f>
      </x:c>
      <x:c r="C158" s="26" t="str">
        <x:f>IF(B158="","",B158+7)</x:f>
      </x:c>
      <x:c r="D158" t="str">
        <x:f>IF(A158="","",TEXT(A158,"dddd"))</x:f>
      </x:c>
      <x:c r="E158" s="24"/>
      <x:c r="F158" s="24"/>
      <x:c r="G158" s="32" t="n">
        <x:f>IF(AND(E158&lt;Settings!$B$11,F158&gt;Settings!$B$11),Settings!$B$12,0)</x:f>
        <x:v>0</x:v>
      </x:c>
      <x:c r="H158" s="32" t="n">
        <x:f>IF(AND(E158&lt;Settings!$B$13,F158&gt;Settings!$B$13),Settings!$B$14,0)</x:f>
        <x:v>0</x:v>
      </x:c>
      <x:c r="I158" s="32" t="str">
        <x:f>IF(A158="","",G158+H158)</x:f>
      </x:c>
      <x:c r="J158" s="22" t="str">
        <x:f>IF(A158="","",((F158-E158)*24)-(I158/60))</x:f>
      </x:c>
      <x:c r="K158" s="22" t="str">
        <x:f>IF(A158="","",MIN(J158,8))</x:f>
      </x:c>
      <x:c r="L158" s="22" t="str">
        <x:f>IF(A158="","",MAX(J158-8,0))</x:f>
      </x:c>
      <x:c r="M158" s="20" t="str">
        <x:f>IF(A158="","",K158*Settings!$B$5)</x:f>
      </x:c>
      <x:c r="N158" s="20" t="str">
        <x:f>IF(A158="","",L158*Settings!$B$6)</x:f>
      </x:c>
      <x:c r="O158" s="22"/>
      <x:c r="P158" s="22"/>
      <x:c r="Q158" s="22" t="str">
        <x:f>IF(A158="","",MAX(O158-Settings!$B$7,0))</x:f>
      </x:c>
      <x:c r="R158" s="20" t="str">
        <x:f>IF(A158="","",Q158*Settings!$B$8)</x:f>
      </x:c>
      <x:c r="S158" s="20" t="str">
        <x:f>IF(A158="","",M158+N158)</x:f>
      </x:c>
      <x:c r="T158" s="20" t="str">
        <x:f>IF(A158="","",S158+R158)</x:f>
      </x:c>
    </x:row>
    <x:row r="159">
      <x:c r="A159" s="26"/>
      <x:c r="B159" s="26" t="str">
        <x:f>IF(A159="","",A159-MOD(WEEKDAY(A159,2)-5,7))</x:f>
      </x:c>
      <x:c r="C159" s="26" t="str">
        <x:f>IF(B159="","",B159+7)</x:f>
      </x:c>
      <x:c r="D159" t="str">
        <x:f>IF(A159="","",TEXT(A159,"dddd"))</x:f>
      </x:c>
      <x:c r="E159" s="24"/>
      <x:c r="F159" s="24"/>
      <x:c r="G159" s="32" t="n">
        <x:f>IF(AND(E159&lt;Settings!$B$11,F159&gt;Settings!$B$11),Settings!$B$12,0)</x:f>
        <x:v>0</x:v>
      </x:c>
      <x:c r="H159" s="32" t="n">
        <x:f>IF(AND(E159&lt;Settings!$B$13,F159&gt;Settings!$B$13),Settings!$B$14,0)</x:f>
        <x:v>0</x:v>
      </x:c>
      <x:c r="I159" s="32" t="str">
        <x:f>IF(A159="","",G159+H159)</x:f>
      </x:c>
      <x:c r="J159" s="22" t="str">
        <x:f>IF(A159="","",((F159-E159)*24)-(I159/60))</x:f>
      </x:c>
      <x:c r="K159" s="22" t="str">
        <x:f>IF(A159="","",MIN(J159,8))</x:f>
      </x:c>
      <x:c r="L159" s="22" t="str">
        <x:f>IF(A159="","",MAX(J159-8,0))</x:f>
      </x:c>
      <x:c r="M159" s="20" t="str">
        <x:f>IF(A159="","",K159*Settings!$B$5)</x:f>
      </x:c>
      <x:c r="N159" s="20" t="str">
        <x:f>IF(A159="","",L159*Settings!$B$6)</x:f>
      </x:c>
      <x:c r="O159" s="22"/>
      <x:c r="P159" s="22"/>
      <x:c r="Q159" s="22" t="str">
        <x:f>IF(A159="","",MAX(O159-Settings!$B$7,0))</x:f>
      </x:c>
      <x:c r="R159" s="20" t="str">
        <x:f>IF(A159="","",Q159*Settings!$B$8)</x:f>
      </x:c>
      <x:c r="S159" s="20" t="str">
        <x:f>IF(A159="","",M159+N159)</x:f>
      </x:c>
      <x:c r="T159" s="20" t="str">
        <x:f>IF(A159="","",S159+R159)</x:f>
      </x:c>
    </x:row>
    <x:row r="160">
      <x:c r="A160" s="26"/>
      <x:c r="B160" s="26" t="str">
        <x:f>IF(A160="","",A160-MOD(WEEKDAY(A160,2)-5,7))</x:f>
      </x:c>
      <x:c r="C160" s="26" t="str">
        <x:f>IF(B160="","",B160+7)</x:f>
      </x:c>
      <x:c r="D160" t="str">
        <x:f>IF(A160="","",TEXT(A160,"dddd"))</x:f>
      </x:c>
      <x:c r="E160" s="24"/>
      <x:c r="F160" s="24"/>
      <x:c r="G160" s="32" t="n">
        <x:f>IF(AND(E160&lt;Settings!$B$11,F160&gt;Settings!$B$11),Settings!$B$12,0)</x:f>
        <x:v>0</x:v>
      </x:c>
      <x:c r="H160" s="32" t="n">
        <x:f>IF(AND(E160&lt;Settings!$B$13,F160&gt;Settings!$B$13),Settings!$B$14,0)</x:f>
        <x:v>0</x:v>
      </x:c>
      <x:c r="I160" s="32" t="str">
        <x:f>IF(A160="","",G160+H160)</x:f>
      </x:c>
      <x:c r="J160" s="22" t="str">
        <x:f>IF(A160="","",((F160-E160)*24)-(I160/60))</x:f>
      </x:c>
      <x:c r="K160" s="22" t="str">
        <x:f>IF(A160="","",MIN(J160,8))</x:f>
      </x:c>
      <x:c r="L160" s="22" t="str">
        <x:f>IF(A160="","",MAX(J160-8,0))</x:f>
      </x:c>
      <x:c r="M160" s="20" t="str">
        <x:f>IF(A160="","",K160*Settings!$B$5)</x:f>
      </x:c>
      <x:c r="N160" s="20" t="str">
        <x:f>IF(A160="","",L160*Settings!$B$6)</x:f>
      </x:c>
      <x:c r="O160" s="22"/>
      <x:c r="P160" s="22"/>
      <x:c r="Q160" s="22" t="str">
        <x:f>IF(A160="","",MAX(O160-Settings!$B$7,0))</x:f>
      </x:c>
      <x:c r="R160" s="20" t="str">
        <x:f>IF(A160="","",Q160*Settings!$B$8)</x:f>
      </x:c>
      <x:c r="S160" s="20" t="str">
        <x:f>IF(A160="","",M160+N160)</x:f>
      </x:c>
      <x:c r="T160" s="20" t="str">
        <x:f>IF(A160="","",S160+R160)</x:f>
      </x:c>
    </x:row>
    <x:row r="161">
      <x:c r="A161" s="26"/>
      <x:c r="B161" s="26" t="str">
        <x:f>IF(A161="","",A161-MOD(WEEKDAY(A161,2)-5,7))</x:f>
      </x:c>
      <x:c r="C161" s="26" t="str">
        <x:f>IF(B161="","",B161+7)</x:f>
      </x:c>
      <x:c r="D161" t="str">
        <x:f>IF(A161="","",TEXT(A161,"dddd"))</x:f>
      </x:c>
      <x:c r="E161" s="24"/>
      <x:c r="F161" s="24"/>
      <x:c r="G161" s="32" t="n">
        <x:f>IF(AND(E161&lt;Settings!$B$11,F161&gt;Settings!$B$11),Settings!$B$12,0)</x:f>
        <x:v>0</x:v>
      </x:c>
      <x:c r="H161" s="32" t="n">
        <x:f>IF(AND(E161&lt;Settings!$B$13,F161&gt;Settings!$B$13),Settings!$B$14,0)</x:f>
        <x:v>0</x:v>
      </x:c>
      <x:c r="I161" s="32" t="str">
        <x:f>IF(A161="","",G161+H161)</x:f>
      </x:c>
      <x:c r="J161" s="22" t="str">
        <x:f>IF(A161="","",((F161-E161)*24)-(I161/60))</x:f>
      </x:c>
      <x:c r="K161" s="22" t="str">
        <x:f>IF(A161="","",MIN(J161,8))</x:f>
      </x:c>
      <x:c r="L161" s="22" t="str">
        <x:f>IF(A161="","",MAX(J161-8,0))</x:f>
      </x:c>
      <x:c r="M161" s="20" t="str">
        <x:f>IF(A161="","",K161*Settings!$B$5)</x:f>
      </x:c>
      <x:c r="N161" s="20" t="str">
        <x:f>IF(A161="","",L161*Settings!$B$6)</x:f>
      </x:c>
      <x:c r="O161" s="22"/>
      <x:c r="P161" s="22"/>
      <x:c r="Q161" s="22" t="str">
        <x:f>IF(A161="","",MAX(O161-Settings!$B$7,0))</x:f>
      </x:c>
      <x:c r="R161" s="20" t="str">
        <x:f>IF(A161="","",Q161*Settings!$B$8)</x:f>
      </x:c>
      <x:c r="S161" s="20" t="str">
        <x:f>IF(A161="","",M161+N161)</x:f>
      </x:c>
      <x:c r="T161" s="20" t="str">
        <x:f>IF(A161="","",S161+R161)</x:f>
      </x:c>
    </x:row>
    <x:row r="162">
      <x:c r="A162" s="26"/>
      <x:c r="B162" s="26" t="str">
        <x:f>IF(A162="","",A162-MOD(WEEKDAY(A162,2)-5,7))</x:f>
      </x:c>
      <x:c r="C162" s="26" t="str">
        <x:f>IF(B162="","",B162+7)</x:f>
      </x:c>
      <x:c r="D162" t="str">
        <x:f>IF(A162="","",TEXT(A162,"dddd"))</x:f>
      </x:c>
      <x:c r="E162" s="24"/>
      <x:c r="F162" s="24"/>
      <x:c r="G162" s="32" t="n">
        <x:f>IF(AND(E162&lt;Settings!$B$11,F162&gt;Settings!$B$11),Settings!$B$12,0)</x:f>
        <x:v>0</x:v>
      </x:c>
      <x:c r="H162" s="32" t="n">
        <x:f>IF(AND(E162&lt;Settings!$B$13,F162&gt;Settings!$B$13),Settings!$B$14,0)</x:f>
        <x:v>0</x:v>
      </x:c>
      <x:c r="I162" s="32" t="str">
        <x:f>IF(A162="","",G162+H162)</x:f>
      </x:c>
      <x:c r="J162" s="22" t="str">
        <x:f>IF(A162="","",((F162-E162)*24)-(I162/60))</x:f>
      </x:c>
      <x:c r="K162" s="22" t="str">
        <x:f>IF(A162="","",MIN(J162,8))</x:f>
      </x:c>
      <x:c r="L162" s="22" t="str">
        <x:f>IF(A162="","",MAX(J162-8,0))</x:f>
      </x:c>
      <x:c r="M162" s="20" t="str">
        <x:f>IF(A162="","",K162*Settings!$B$5)</x:f>
      </x:c>
      <x:c r="N162" s="20" t="str">
        <x:f>IF(A162="","",L162*Settings!$B$6)</x:f>
      </x:c>
      <x:c r="O162" s="22"/>
      <x:c r="P162" s="22"/>
      <x:c r="Q162" s="22" t="str">
        <x:f>IF(A162="","",MAX(O162-Settings!$B$7,0))</x:f>
      </x:c>
      <x:c r="R162" s="20" t="str">
        <x:f>IF(A162="","",Q162*Settings!$B$8)</x:f>
      </x:c>
      <x:c r="S162" s="20" t="str">
        <x:f>IF(A162="","",M162+N162)</x:f>
      </x:c>
      <x:c r="T162" s="20" t="str">
        <x:f>IF(A162="","",S162+R162)</x:f>
      </x:c>
    </x:row>
    <x:row r="163">
      <x:c r="A163" s="26"/>
      <x:c r="B163" s="26" t="str">
        <x:f>IF(A163="","",A163-MOD(WEEKDAY(A163,2)-5,7))</x:f>
      </x:c>
      <x:c r="C163" s="26" t="str">
        <x:f>IF(B163="","",B163+7)</x:f>
      </x:c>
      <x:c r="D163" t="str">
        <x:f>IF(A163="","",TEXT(A163,"dddd"))</x:f>
      </x:c>
      <x:c r="E163" s="24"/>
      <x:c r="F163" s="24"/>
      <x:c r="G163" s="32" t="n">
        <x:f>IF(AND(E163&lt;Settings!$B$11,F163&gt;Settings!$B$11),Settings!$B$12,0)</x:f>
        <x:v>0</x:v>
      </x:c>
      <x:c r="H163" s="32" t="n">
        <x:f>IF(AND(E163&lt;Settings!$B$13,F163&gt;Settings!$B$13),Settings!$B$14,0)</x:f>
        <x:v>0</x:v>
      </x:c>
      <x:c r="I163" s="32" t="str">
        <x:f>IF(A163="","",G163+H163)</x:f>
      </x:c>
      <x:c r="J163" s="22" t="str">
        <x:f>IF(A163="","",((F163-E163)*24)-(I163/60))</x:f>
      </x:c>
      <x:c r="K163" s="22" t="str">
        <x:f>IF(A163="","",MIN(J163,8))</x:f>
      </x:c>
      <x:c r="L163" s="22" t="str">
        <x:f>IF(A163="","",MAX(J163-8,0))</x:f>
      </x:c>
      <x:c r="M163" s="20" t="str">
        <x:f>IF(A163="","",K163*Settings!$B$5)</x:f>
      </x:c>
      <x:c r="N163" s="20" t="str">
        <x:f>IF(A163="","",L163*Settings!$B$6)</x:f>
      </x:c>
      <x:c r="O163" s="22"/>
      <x:c r="P163" s="22"/>
      <x:c r="Q163" s="22" t="str">
        <x:f>IF(A163="","",MAX(O163-Settings!$B$7,0))</x:f>
      </x:c>
      <x:c r="R163" s="20" t="str">
        <x:f>IF(A163="","",Q163*Settings!$B$8)</x:f>
      </x:c>
      <x:c r="S163" s="20" t="str">
        <x:f>IF(A163="","",M163+N163)</x:f>
      </x:c>
      <x:c r="T163" s="20" t="str">
        <x:f>IF(A163="","",S163+R163)</x:f>
      </x:c>
    </x:row>
    <x:row r="164">
      <x:c r="A164" s="26"/>
      <x:c r="B164" s="26" t="str">
        <x:f>IF(A164="","",A164-MOD(WEEKDAY(A164,2)-5,7))</x:f>
      </x:c>
      <x:c r="C164" s="26" t="str">
        <x:f>IF(B164="","",B164+7)</x:f>
      </x:c>
      <x:c r="D164" t="str">
        <x:f>IF(A164="","",TEXT(A164,"dddd"))</x:f>
      </x:c>
      <x:c r="E164" s="24"/>
      <x:c r="F164" s="24"/>
      <x:c r="G164" s="32" t="n">
        <x:f>IF(AND(E164&lt;Settings!$B$11,F164&gt;Settings!$B$11),Settings!$B$12,0)</x:f>
        <x:v>0</x:v>
      </x:c>
      <x:c r="H164" s="32" t="n">
        <x:f>IF(AND(E164&lt;Settings!$B$13,F164&gt;Settings!$B$13),Settings!$B$14,0)</x:f>
        <x:v>0</x:v>
      </x:c>
      <x:c r="I164" s="32" t="str">
        <x:f>IF(A164="","",G164+H164)</x:f>
      </x:c>
      <x:c r="J164" s="22" t="str">
        <x:f>IF(A164="","",((F164-E164)*24)-(I164/60))</x:f>
      </x:c>
      <x:c r="K164" s="22" t="str">
        <x:f>IF(A164="","",MIN(J164,8))</x:f>
      </x:c>
      <x:c r="L164" s="22" t="str">
        <x:f>IF(A164="","",MAX(J164-8,0))</x:f>
      </x:c>
      <x:c r="M164" s="20" t="str">
        <x:f>IF(A164="","",K164*Settings!$B$5)</x:f>
      </x:c>
      <x:c r="N164" s="20" t="str">
        <x:f>IF(A164="","",L164*Settings!$B$6)</x:f>
      </x:c>
      <x:c r="O164" s="22"/>
      <x:c r="P164" s="22"/>
      <x:c r="Q164" s="22" t="str">
        <x:f>IF(A164="","",MAX(O164-Settings!$B$7,0))</x:f>
      </x:c>
      <x:c r="R164" s="20" t="str">
        <x:f>IF(A164="","",Q164*Settings!$B$8)</x:f>
      </x:c>
      <x:c r="S164" s="20" t="str">
        <x:f>IF(A164="","",M164+N164)</x:f>
      </x:c>
      <x:c r="T164" s="20" t="str">
        <x:f>IF(A164="","",S164+R164)</x:f>
      </x:c>
    </x:row>
    <x:row r="165">
      <x:c r="A165" s="26"/>
      <x:c r="B165" s="26" t="str">
        <x:f>IF(A165="","",A165-MOD(WEEKDAY(A165,2)-5,7))</x:f>
      </x:c>
      <x:c r="C165" s="26" t="str">
        <x:f>IF(B165="","",B165+7)</x:f>
      </x:c>
      <x:c r="D165" t="str">
        <x:f>IF(A165="","",TEXT(A165,"dddd"))</x:f>
      </x:c>
      <x:c r="E165" s="24"/>
      <x:c r="F165" s="24"/>
      <x:c r="G165" s="32" t="n">
        <x:f>IF(AND(E165&lt;Settings!$B$11,F165&gt;Settings!$B$11),Settings!$B$12,0)</x:f>
        <x:v>0</x:v>
      </x:c>
      <x:c r="H165" s="32" t="n">
        <x:f>IF(AND(E165&lt;Settings!$B$13,F165&gt;Settings!$B$13),Settings!$B$14,0)</x:f>
        <x:v>0</x:v>
      </x:c>
      <x:c r="I165" s="32" t="str">
        <x:f>IF(A165="","",G165+H165)</x:f>
      </x:c>
      <x:c r="J165" s="22" t="str">
        <x:f>IF(A165="","",((F165-E165)*24)-(I165/60))</x:f>
      </x:c>
      <x:c r="K165" s="22" t="str">
        <x:f>IF(A165="","",MIN(J165,8))</x:f>
      </x:c>
      <x:c r="L165" s="22" t="str">
        <x:f>IF(A165="","",MAX(J165-8,0))</x:f>
      </x:c>
      <x:c r="M165" s="20" t="str">
        <x:f>IF(A165="","",K165*Settings!$B$5)</x:f>
      </x:c>
      <x:c r="N165" s="20" t="str">
        <x:f>IF(A165="","",L165*Settings!$B$6)</x:f>
      </x:c>
      <x:c r="O165" s="22"/>
      <x:c r="P165" s="22"/>
      <x:c r="Q165" s="22" t="str">
        <x:f>IF(A165="","",MAX(O165-Settings!$B$7,0))</x:f>
      </x:c>
      <x:c r="R165" s="20" t="str">
        <x:f>IF(A165="","",Q165*Settings!$B$8)</x:f>
      </x:c>
      <x:c r="S165" s="20" t="str">
        <x:f>IF(A165="","",M165+N165)</x:f>
      </x:c>
      <x:c r="T165" s="20" t="str">
        <x:f>IF(A165="","",S165+R165)</x:f>
      </x:c>
    </x:row>
    <x:row r="166">
      <x:c r="A166" s="26"/>
      <x:c r="B166" s="26" t="str">
        <x:f>IF(A166="","",A166-MOD(WEEKDAY(A166,2)-5,7))</x:f>
      </x:c>
      <x:c r="C166" s="26" t="str">
        <x:f>IF(B166="","",B166+7)</x:f>
      </x:c>
      <x:c r="D166" t="str">
        <x:f>IF(A166="","",TEXT(A166,"dddd"))</x:f>
      </x:c>
      <x:c r="E166" s="24"/>
      <x:c r="F166" s="24"/>
      <x:c r="G166" s="32" t="n">
        <x:f>IF(AND(E166&lt;Settings!$B$11,F166&gt;Settings!$B$11),Settings!$B$12,0)</x:f>
        <x:v>0</x:v>
      </x:c>
      <x:c r="H166" s="32" t="n">
        <x:f>IF(AND(E166&lt;Settings!$B$13,F166&gt;Settings!$B$13),Settings!$B$14,0)</x:f>
        <x:v>0</x:v>
      </x:c>
      <x:c r="I166" s="32" t="str">
        <x:f>IF(A166="","",G166+H166)</x:f>
      </x:c>
      <x:c r="J166" s="22" t="str">
        <x:f>IF(A166="","",((F166-E166)*24)-(I166/60))</x:f>
      </x:c>
      <x:c r="K166" s="22" t="str">
        <x:f>IF(A166="","",MIN(J166,8))</x:f>
      </x:c>
      <x:c r="L166" s="22" t="str">
        <x:f>IF(A166="","",MAX(J166-8,0))</x:f>
      </x:c>
      <x:c r="M166" s="20" t="str">
        <x:f>IF(A166="","",K166*Settings!$B$5)</x:f>
      </x:c>
      <x:c r="N166" s="20" t="str">
        <x:f>IF(A166="","",L166*Settings!$B$6)</x:f>
      </x:c>
      <x:c r="O166" s="22"/>
      <x:c r="P166" s="22"/>
      <x:c r="Q166" s="22" t="str">
        <x:f>IF(A166="","",MAX(O166-Settings!$B$7,0))</x:f>
      </x:c>
      <x:c r="R166" s="20" t="str">
        <x:f>IF(A166="","",Q166*Settings!$B$8)</x:f>
      </x:c>
      <x:c r="S166" s="20" t="str">
        <x:f>IF(A166="","",M166+N166)</x:f>
      </x:c>
      <x:c r="T166" s="20" t="str">
        <x:f>IF(A166="","",S166+R166)</x:f>
      </x:c>
    </x:row>
    <x:row r="167">
      <x:c r="A167" s="26"/>
      <x:c r="B167" s="26" t="str">
        <x:f>IF(A167="","",A167-MOD(WEEKDAY(A167,2)-5,7))</x:f>
      </x:c>
      <x:c r="C167" s="26" t="str">
        <x:f>IF(B167="","",B167+7)</x:f>
      </x:c>
      <x:c r="D167" t="str">
        <x:f>IF(A167="","",TEXT(A167,"dddd"))</x:f>
      </x:c>
      <x:c r="E167" s="24"/>
      <x:c r="F167" s="24"/>
      <x:c r="G167" s="32" t="n">
        <x:f>IF(AND(E167&lt;Settings!$B$11,F167&gt;Settings!$B$11),Settings!$B$12,0)</x:f>
        <x:v>0</x:v>
      </x:c>
      <x:c r="H167" s="32" t="n">
        <x:f>IF(AND(E167&lt;Settings!$B$13,F167&gt;Settings!$B$13),Settings!$B$14,0)</x:f>
        <x:v>0</x:v>
      </x:c>
      <x:c r="I167" s="32" t="str">
        <x:f>IF(A167="","",G167+H167)</x:f>
      </x:c>
      <x:c r="J167" s="22" t="str">
        <x:f>IF(A167="","",((F167-E167)*24)-(I167/60))</x:f>
      </x:c>
      <x:c r="K167" s="22" t="str">
        <x:f>IF(A167="","",MIN(J167,8))</x:f>
      </x:c>
      <x:c r="L167" s="22" t="str">
        <x:f>IF(A167="","",MAX(J167-8,0))</x:f>
      </x:c>
      <x:c r="M167" s="20" t="str">
        <x:f>IF(A167="","",K167*Settings!$B$5)</x:f>
      </x:c>
      <x:c r="N167" s="20" t="str">
        <x:f>IF(A167="","",L167*Settings!$B$6)</x:f>
      </x:c>
      <x:c r="O167" s="22"/>
      <x:c r="P167" s="22"/>
      <x:c r="Q167" s="22" t="str">
        <x:f>IF(A167="","",MAX(O167-Settings!$B$7,0))</x:f>
      </x:c>
      <x:c r="R167" s="20" t="str">
        <x:f>IF(A167="","",Q167*Settings!$B$8)</x:f>
      </x:c>
      <x:c r="S167" s="20" t="str">
        <x:f>IF(A167="","",M167+N167)</x:f>
      </x:c>
      <x:c r="T167" s="20" t="str">
        <x:f>IF(A167="","",S167+R167)</x:f>
      </x:c>
    </x:row>
    <x:row r="168">
      <x:c r="A168" s="26"/>
      <x:c r="B168" s="26" t="str">
        <x:f>IF(A168="","",A168-MOD(WEEKDAY(A168,2)-5,7))</x:f>
      </x:c>
      <x:c r="C168" s="26" t="str">
        <x:f>IF(B168="","",B168+7)</x:f>
      </x:c>
      <x:c r="D168" t="str">
        <x:f>IF(A168="","",TEXT(A168,"dddd"))</x:f>
      </x:c>
      <x:c r="E168" s="24"/>
      <x:c r="F168" s="24"/>
      <x:c r="G168" s="32" t="n">
        <x:f>IF(AND(E168&lt;Settings!$B$11,F168&gt;Settings!$B$11),Settings!$B$12,0)</x:f>
        <x:v>0</x:v>
      </x:c>
      <x:c r="H168" s="32" t="n">
        <x:f>IF(AND(E168&lt;Settings!$B$13,F168&gt;Settings!$B$13),Settings!$B$14,0)</x:f>
        <x:v>0</x:v>
      </x:c>
      <x:c r="I168" s="32" t="str">
        <x:f>IF(A168="","",G168+H168)</x:f>
      </x:c>
      <x:c r="J168" s="22" t="str">
        <x:f>IF(A168="","",((F168-E168)*24)-(I168/60))</x:f>
      </x:c>
      <x:c r="K168" s="22" t="str">
        <x:f>IF(A168="","",MIN(J168,8))</x:f>
      </x:c>
      <x:c r="L168" s="22" t="str">
        <x:f>IF(A168="","",MAX(J168-8,0))</x:f>
      </x:c>
      <x:c r="M168" s="20" t="str">
        <x:f>IF(A168="","",K168*Settings!$B$5)</x:f>
      </x:c>
      <x:c r="N168" s="20" t="str">
        <x:f>IF(A168="","",L168*Settings!$B$6)</x:f>
      </x:c>
      <x:c r="O168" s="22"/>
      <x:c r="P168" s="22"/>
      <x:c r="Q168" s="22" t="str">
        <x:f>IF(A168="","",MAX(O168-Settings!$B$7,0))</x:f>
      </x:c>
      <x:c r="R168" s="20" t="str">
        <x:f>IF(A168="","",Q168*Settings!$B$8)</x:f>
      </x:c>
      <x:c r="S168" s="20" t="str">
        <x:f>IF(A168="","",M168+N168)</x:f>
      </x:c>
      <x:c r="T168" s="20" t="str">
        <x:f>IF(A168="","",S168+R168)</x:f>
      </x:c>
    </x:row>
    <x:row r="169">
      <x:c r="A169" s="26"/>
      <x:c r="B169" s="26" t="str">
        <x:f>IF(A169="","",A169-MOD(WEEKDAY(A169,2)-5,7))</x:f>
      </x:c>
      <x:c r="C169" s="26" t="str">
        <x:f>IF(B169="","",B169+7)</x:f>
      </x:c>
      <x:c r="D169" t="str">
        <x:f>IF(A169="","",TEXT(A169,"dddd"))</x:f>
      </x:c>
      <x:c r="E169" s="24"/>
      <x:c r="F169" s="24"/>
      <x:c r="G169" s="32" t="n">
        <x:f>IF(AND(E169&lt;Settings!$B$11,F169&gt;Settings!$B$11),Settings!$B$12,0)</x:f>
        <x:v>0</x:v>
      </x:c>
      <x:c r="H169" s="32" t="n">
        <x:f>IF(AND(E169&lt;Settings!$B$13,F169&gt;Settings!$B$13),Settings!$B$14,0)</x:f>
        <x:v>0</x:v>
      </x:c>
      <x:c r="I169" s="32" t="str">
        <x:f>IF(A169="","",G169+H169)</x:f>
      </x:c>
      <x:c r="J169" s="22" t="str">
        <x:f>IF(A169="","",((F169-E169)*24)-(I169/60))</x:f>
      </x:c>
      <x:c r="K169" s="22" t="str">
        <x:f>IF(A169="","",MIN(J169,8))</x:f>
      </x:c>
      <x:c r="L169" s="22" t="str">
        <x:f>IF(A169="","",MAX(J169-8,0))</x:f>
      </x:c>
      <x:c r="M169" s="20" t="str">
        <x:f>IF(A169="","",K169*Settings!$B$5)</x:f>
      </x:c>
      <x:c r="N169" s="20" t="str">
        <x:f>IF(A169="","",L169*Settings!$B$6)</x:f>
      </x:c>
      <x:c r="O169" s="22"/>
      <x:c r="P169" s="22"/>
      <x:c r="Q169" s="22" t="str">
        <x:f>IF(A169="","",MAX(O169-Settings!$B$7,0))</x:f>
      </x:c>
      <x:c r="R169" s="20" t="str">
        <x:f>IF(A169="","",Q169*Settings!$B$8)</x:f>
      </x:c>
      <x:c r="S169" s="20" t="str">
        <x:f>IF(A169="","",M169+N169)</x:f>
      </x:c>
      <x:c r="T169" s="20" t="str">
        <x:f>IF(A169="","",S169+R169)</x:f>
      </x:c>
    </x:row>
    <x:row r="170">
      <x:c r="A170" s="26"/>
      <x:c r="B170" s="26" t="str">
        <x:f>IF(A170="","",A170-MOD(WEEKDAY(A170,2)-5,7))</x:f>
      </x:c>
      <x:c r="C170" s="26" t="str">
        <x:f>IF(B170="","",B170+7)</x:f>
      </x:c>
      <x:c r="D170" t="str">
        <x:f>IF(A170="","",TEXT(A170,"dddd"))</x:f>
      </x:c>
      <x:c r="E170" s="24"/>
      <x:c r="F170" s="24"/>
      <x:c r="G170" s="32" t="n">
        <x:f>IF(AND(E170&lt;Settings!$B$11,F170&gt;Settings!$B$11),Settings!$B$12,0)</x:f>
        <x:v>0</x:v>
      </x:c>
      <x:c r="H170" s="32" t="n">
        <x:f>IF(AND(E170&lt;Settings!$B$13,F170&gt;Settings!$B$13),Settings!$B$14,0)</x:f>
        <x:v>0</x:v>
      </x:c>
      <x:c r="I170" s="32" t="str">
        <x:f>IF(A170="","",G170+H170)</x:f>
      </x:c>
      <x:c r="J170" s="22" t="str">
        <x:f>IF(A170="","",((F170-E170)*24)-(I170/60))</x:f>
      </x:c>
      <x:c r="K170" s="22" t="str">
        <x:f>IF(A170="","",MIN(J170,8))</x:f>
      </x:c>
      <x:c r="L170" s="22" t="str">
        <x:f>IF(A170="","",MAX(J170-8,0))</x:f>
      </x:c>
      <x:c r="M170" s="20" t="str">
        <x:f>IF(A170="","",K170*Settings!$B$5)</x:f>
      </x:c>
      <x:c r="N170" s="20" t="str">
        <x:f>IF(A170="","",L170*Settings!$B$6)</x:f>
      </x:c>
      <x:c r="O170" s="22"/>
      <x:c r="P170" s="22"/>
      <x:c r="Q170" s="22" t="str">
        <x:f>IF(A170="","",MAX(O170-Settings!$B$7,0))</x:f>
      </x:c>
      <x:c r="R170" s="20" t="str">
        <x:f>IF(A170="","",Q170*Settings!$B$8)</x:f>
      </x:c>
      <x:c r="S170" s="20" t="str">
        <x:f>IF(A170="","",M170+N170)</x:f>
      </x:c>
      <x:c r="T170" s="20" t="str">
        <x:f>IF(A170="","",S170+R170)</x:f>
      </x:c>
    </x:row>
    <x:row r="171">
      <x:c r="A171" s="26"/>
      <x:c r="B171" s="26" t="str">
        <x:f>IF(A171="","",A171-MOD(WEEKDAY(A171,2)-5,7))</x:f>
      </x:c>
      <x:c r="C171" s="26" t="str">
        <x:f>IF(B171="","",B171+7)</x:f>
      </x:c>
      <x:c r="D171" t="str">
        <x:f>IF(A171="","",TEXT(A171,"dddd"))</x:f>
      </x:c>
      <x:c r="E171" s="24"/>
      <x:c r="F171" s="24"/>
      <x:c r="G171" s="32" t="n">
        <x:f>IF(AND(E171&lt;Settings!$B$11,F171&gt;Settings!$B$11),Settings!$B$12,0)</x:f>
        <x:v>0</x:v>
      </x:c>
      <x:c r="H171" s="32" t="n">
        <x:f>IF(AND(E171&lt;Settings!$B$13,F171&gt;Settings!$B$13),Settings!$B$14,0)</x:f>
        <x:v>0</x:v>
      </x:c>
      <x:c r="I171" s="32" t="str">
        <x:f>IF(A171="","",G171+H171)</x:f>
      </x:c>
      <x:c r="J171" s="22" t="str">
        <x:f>IF(A171="","",((F171-E171)*24)-(I171/60))</x:f>
      </x:c>
      <x:c r="K171" s="22" t="str">
        <x:f>IF(A171="","",MIN(J171,8))</x:f>
      </x:c>
      <x:c r="L171" s="22" t="str">
        <x:f>IF(A171="","",MAX(J171-8,0))</x:f>
      </x:c>
      <x:c r="M171" s="20" t="str">
        <x:f>IF(A171="","",K171*Settings!$B$5)</x:f>
      </x:c>
      <x:c r="N171" s="20" t="str">
        <x:f>IF(A171="","",L171*Settings!$B$6)</x:f>
      </x:c>
      <x:c r="O171" s="22"/>
      <x:c r="P171" s="22"/>
      <x:c r="Q171" s="22" t="str">
        <x:f>IF(A171="","",MAX(O171-Settings!$B$7,0))</x:f>
      </x:c>
      <x:c r="R171" s="20" t="str">
        <x:f>IF(A171="","",Q171*Settings!$B$8)</x:f>
      </x:c>
      <x:c r="S171" s="20" t="str">
        <x:f>IF(A171="","",M171+N171)</x:f>
      </x:c>
      <x:c r="T171" s="20" t="str">
        <x:f>IF(A171="","",S171+R171)</x:f>
      </x:c>
    </x:row>
    <x:row r="172">
      <x:c r="A172" s="26"/>
      <x:c r="B172" s="26" t="str">
        <x:f>IF(A172="","",A172-MOD(WEEKDAY(A172,2)-5,7))</x:f>
      </x:c>
      <x:c r="C172" s="26" t="str">
        <x:f>IF(B172="","",B172+7)</x:f>
      </x:c>
      <x:c r="D172" t="str">
        <x:f>IF(A172="","",TEXT(A172,"dddd"))</x:f>
      </x:c>
      <x:c r="E172" s="24"/>
      <x:c r="F172" s="24"/>
      <x:c r="G172" s="32" t="n">
        <x:f>IF(AND(E172&lt;Settings!$B$11,F172&gt;Settings!$B$11),Settings!$B$12,0)</x:f>
        <x:v>0</x:v>
      </x:c>
      <x:c r="H172" s="32" t="n">
        <x:f>IF(AND(E172&lt;Settings!$B$13,F172&gt;Settings!$B$13),Settings!$B$14,0)</x:f>
        <x:v>0</x:v>
      </x:c>
      <x:c r="I172" s="32" t="str">
        <x:f>IF(A172="","",G172+H172)</x:f>
      </x:c>
      <x:c r="J172" s="22" t="str">
        <x:f>IF(A172="","",((F172-E172)*24)-(I172/60))</x:f>
      </x:c>
      <x:c r="K172" s="22" t="str">
        <x:f>IF(A172="","",MIN(J172,8))</x:f>
      </x:c>
      <x:c r="L172" s="22" t="str">
        <x:f>IF(A172="","",MAX(J172-8,0))</x:f>
      </x:c>
      <x:c r="M172" s="20" t="str">
        <x:f>IF(A172="","",K172*Settings!$B$5)</x:f>
      </x:c>
      <x:c r="N172" s="20" t="str">
        <x:f>IF(A172="","",L172*Settings!$B$6)</x:f>
      </x:c>
      <x:c r="O172" s="22"/>
      <x:c r="P172" s="22"/>
      <x:c r="Q172" s="22" t="str">
        <x:f>IF(A172="","",MAX(O172-Settings!$B$7,0))</x:f>
      </x:c>
      <x:c r="R172" s="20" t="str">
        <x:f>IF(A172="","",Q172*Settings!$B$8)</x:f>
      </x:c>
      <x:c r="S172" s="20" t="str">
        <x:f>IF(A172="","",M172+N172)</x:f>
      </x:c>
      <x:c r="T172" s="20" t="str">
        <x:f>IF(A172="","",S172+R172)</x:f>
      </x:c>
    </x:row>
    <x:row r="173">
      <x:c r="A173" s="26"/>
      <x:c r="B173" s="26" t="str">
        <x:f>IF(A173="","",A173-MOD(WEEKDAY(A173,2)-5,7))</x:f>
      </x:c>
      <x:c r="C173" s="26" t="str">
        <x:f>IF(B173="","",B173+7)</x:f>
      </x:c>
      <x:c r="D173" t="str">
        <x:f>IF(A173="","",TEXT(A173,"dddd"))</x:f>
      </x:c>
      <x:c r="E173" s="24"/>
      <x:c r="F173" s="24"/>
      <x:c r="G173" s="32" t="n">
        <x:f>IF(AND(E173&lt;Settings!$B$11,F173&gt;Settings!$B$11),Settings!$B$12,0)</x:f>
        <x:v>0</x:v>
      </x:c>
      <x:c r="H173" s="32" t="n">
        <x:f>IF(AND(E173&lt;Settings!$B$13,F173&gt;Settings!$B$13),Settings!$B$14,0)</x:f>
        <x:v>0</x:v>
      </x:c>
      <x:c r="I173" s="32" t="str">
        <x:f>IF(A173="","",G173+H173)</x:f>
      </x:c>
      <x:c r="J173" s="22" t="str">
        <x:f>IF(A173="","",((F173-E173)*24)-(I173/60))</x:f>
      </x:c>
      <x:c r="K173" s="22" t="str">
        <x:f>IF(A173="","",MIN(J173,8))</x:f>
      </x:c>
      <x:c r="L173" s="22" t="str">
        <x:f>IF(A173="","",MAX(J173-8,0))</x:f>
      </x:c>
      <x:c r="M173" s="20" t="str">
        <x:f>IF(A173="","",K173*Settings!$B$5)</x:f>
      </x:c>
      <x:c r="N173" s="20" t="str">
        <x:f>IF(A173="","",L173*Settings!$B$6)</x:f>
      </x:c>
      <x:c r="O173" s="22"/>
      <x:c r="P173" s="22"/>
      <x:c r="Q173" s="22" t="str">
        <x:f>IF(A173="","",MAX(O173-Settings!$B$7,0))</x:f>
      </x:c>
      <x:c r="R173" s="20" t="str">
        <x:f>IF(A173="","",Q173*Settings!$B$8)</x:f>
      </x:c>
      <x:c r="S173" s="20" t="str">
        <x:f>IF(A173="","",M173+N173)</x:f>
      </x:c>
      <x:c r="T173" s="20" t="str">
        <x:f>IF(A173="","",S173+R173)</x:f>
      </x:c>
    </x:row>
    <x:row r="174">
      <x:c r="A174" s="26"/>
      <x:c r="B174" s="26" t="str">
        <x:f>IF(A174="","",A174-MOD(WEEKDAY(A174,2)-5,7))</x:f>
      </x:c>
      <x:c r="C174" s="26" t="str">
        <x:f>IF(B174="","",B174+7)</x:f>
      </x:c>
      <x:c r="D174" t="str">
        <x:f>IF(A174="","",TEXT(A174,"dddd"))</x:f>
      </x:c>
      <x:c r="E174" s="24"/>
      <x:c r="F174" s="24"/>
      <x:c r="G174" s="32" t="n">
        <x:f>IF(AND(E174&lt;Settings!$B$11,F174&gt;Settings!$B$11),Settings!$B$12,0)</x:f>
        <x:v>0</x:v>
      </x:c>
      <x:c r="H174" s="32" t="n">
        <x:f>IF(AND(E174&lt;Settings!$B$13,F174&gt;Settings!$B$13),Settings!$B$14,0)</x:f>
        <x:v>0</x:v>
      </x:c>
      <x:c r="I174" s="32" t="str">
        <x:f>IF(A174="","",G174+H174)</x:f>
      </x:c>
      <x:c r="J174" s="22" t="str">
        <x:f>IF(A174="","",((F174-E174)*24)-(I174/60))</x:f>
      </x:c>
      <x:c r="K174" s="22" t="str">
        <x:f>IF(A174="","",MIN(J174,8))</x:f>
      </x:c>
      <x:c r="L174" s="22" t="str">
        <x:f>IF(A174="","",MAX(J174-8,0))</x:f>
      </x:c>
      <x:c r="M174" s="20" t="str">
        <x:f>IF(A174="","",K174*Settings!$B$5)</x:f>
      </x:c>
      <x:c r="N174" s="20" t="str">
        <x:f>IF(A174="","",L174*Settings!$B$6)</x:f>
      </x:c>
      <x:c r="O174" s="22"/>
      <x:c r="P174" s="22"/>
      <x:c r="Q174" s="22" t="str">
        <x:f>IF(A174="","",MAX(O174-Settings!$B$7,0))</x:f>
      </x:c>
      <x:c r="R174" s="20" t="str">
        <x:f>IF(A174="","",Q174*Settings!$B$8)</x:f>
      </x:c>
      <x:c r="S174" s="20" t="str">
        <x:f>IF(A174="","",M174+N174)</x:f>
      </x:c>
      <x:c r="T174" s="20" t="str">
        <x:f>IF(A174="","",S174+R174)</x:f>
      </x:c>
    </x:row>
    <x:row r="175">
      <x:c r="A175" s="26"/>
      <x:c r="B175" s="26" t="str">
        <x:f>IF(A175="","",A175-MOD(WEEKDAY(A175,2)-5,7))</x:f>
      </x:c>
      <x:c r="C175" s="26" t="str">
        <x:f>IF(B175="","",B175+7)</x:f>
      </x:c>
      <x:c r="D175" t="str">
        <x:f>IF(A175="","",TEXT(A175,"dddd"))</x:f>
      </x:c>
      <x:c r="E175" s="24"/>
      <x:c r="F175" s="24"/>
      <x:c r="G175" s="32" t="n">
        <x:f>IF(AND(E175&lt;Settings!$B$11,F175&gt;Settings!$B$11),Settings!$B$12,0)</x:f>
        <x:v>0</x:v>
      </x:c>
      <x:c r="H175" s="32" t="n">
        <x:f>IF(AND(E175&lt;Settings!$B$13,F175&gt;Settings!$B$13),Settings!$B$14,0)</x:f>
        <x:v>0</x:v>
      </x:c>
      <x:c r="I175" s="32" t="str">
        <x:f>IF(A175="","",G175+H175)</x:f>
      </x:c>
      <x:c r="J175" s="22" t="str">
        <x:f>IF(A175="","",((F175-E175)*24)-(I175/60))</x:f>
      </x:c>
      <x:c r="K175" s="22" t="str">
        <x:f>IF(A175="","",MIN(J175,8))</x:f>
      </x:c>
      <x:c r="L175" s="22" t="str">
        <x:f>IF(A175="","",MAX(J175-8,0))</x:f>
      </x:c>
      <x:c r="M175" s="20" t="str">
        <x:f>IF(A175="","",K175*Settings!$B$5)</x:f>
      </x:c>
      <x:c r="N175" s="20" t="str">
        <x:f>IF(A175="","",L175*Settings!$B$6)</x:f>
      </x:c>
      <x:c r="O175" s="22"/>
      <x:c r="P175" s="22"/>
      <x:c r="Q175" s="22" t="str">
        <x:f>IF(A175="","",MAX(O175-Settings!$B$7,0))</x:f>
      </x:c>
      <x:c r="R175" s="20" t="str">
        <x:f>IF(A175="","",Q175*Settings!$B$8)</x:f>
      </x:c>
      <x:c r="S175" s="20" t="str">
        <x:f>IF(A175="","",M175+N175)</x:f>
      </x:c>
      <x:c r="T175" s="20" t="str">
        <x:f>IF(A175="","",S175+R175)</x:f>
      </x:c>
    </x:row>
    <x:row r="176">
      <x:c r="A176" s="26"/>
      <x:c r="B176" s="26" t="str">
        <x:f>IF(A176="","",A176-MOD(WEEKDAY(A176,2)-5,7))</x:f>
      </x:c>
      <x:c r="C176" s="26" t="str">
        <x:f>IF(B176="","",B176+7)</x:f>
      </x:c>
      <x:c r="D176" t="str">
        <x:f>IF(A176="","",TEXT(A176,"dddd"))</x:f>
      </x:c>
      <x:c r="E176" s="24"/>
      <x:c r="F176" s="24"/>
      <x:c r="G176" s="32" t="n">
        <x:f>IF(AND(E176&lt;Settings!$B$11,F176&gt;Settings!$B$11),Settings!$B$12,0)</x:f>
        <x:v>0</x:v>
      </x:c>
      <x:c r="H176" s="32" t="n">
        <x:f>IF(AND(E176&lt;Settings!$B$13,F176&gt;Settings!$B$13),Settings!$B$14,0)</x:f>
        <x:v>0</x:v>
      </x:c>
      <x:c r="I176" s="32" t="str">
        <x:f>IF(A176="","",G176+H176)</x:f>
      </x:c>
      <x:c r="J176" s="22" t="str">
        <x:f>IF(A176="","",((F176-E176)*24)-(I176/60))</x:f>
      </x:c>
      <x:c r="K176" s="22" t="str">
        <x:f>IF(A176="","",MIN(J176,8))</x:f>
      </x:c>
      <x:c r="L176" s="22" t="str">
        <x:f>IF(A176="","",MAX(J176-8,0))</x:f>
      </x:c>
      <x:c r="M176" s="20" t="str">
        <x:f>IF(A176="","",K176*Settings!$B$5)</x:f>
      </x:c>
      <x:c r="N176" s="20" t="str">
        <x:f>IF(A176="","",L176*Settings!$B$6)</x:f>
      </x:c>
      <x:c r="O176" s="22"/>
      <x:c r="P176" s="22"/>
      <x:c r="Q176" s="22" t="str">
        <x:f>IF(A176="","",MAX(O176-Settings!$B$7,0))</x:f>
      </x:c>
      <x:c r="R176" s="20" t="str">
        <x:f>IF(A176="","",Q176*Settings!$B$8)</x:f>
      </x:c>
      <x:c r="S176" s="20" t="str">
        <x:f>IF(A176="","",M176+N176)</x:f>
      </x:c>
      <x:c r="T176" s="20" t="str">
        <x:f>IF(A176="","",S176+R176)</x:f>
      </x:c>
    </x:row>
    <x:row r="177">
      <x:c r="A177" s="26"/>
      <x:c r="B177" s="26" t="str">
        <x:f>IF(A177="","",A177-MOD(WEEKDAY(A177,2)-5,7))</x:f>
      </x:c>
      <x:c r="C177" s="26" t="str">
        <x:f>IF(B177="","",B177+7)</x:f>
      </x:c>
      <x:c r="D177" t="str">
        <x:f>IF(A177="","",TEXT(A177,"dddd"))</x:f>
      </x:c>
      <x:c r="E177" s="24"/>
      <x:c r="F177" s="24"/>
      <x:c r="G177" s="32" t="n">
        <x:f>IF(AND(E177&lt;Settings!$B$11,F177&gt;Settings!$B$11),Settings!$B$12,0)</x:f>
        <x:v>0</x:v>
      </x:c>
      <x:c r="H177" s="32" t="n">
        <x:f>IF(AND(E177&lt;Settings!$B$13,F177&gt;Settings!$B$13),Settings!$B$14,0)</x:f>
        <x:v>0</x:v>
      </x:c>
      <x:c r="I177" s="32" t="str">
        <x:f>IF(A177="","",G177+H177)</x:f>
      </x:c>
      <x:c r="J177" s="22" t="str">
        <x:f>IF(A177="","",((F177-E177)*24)-(I177/60))</x:f>
      </x:c>
      <x:c r="K177" s="22" t="str">
        <x:f>IF(A177="","",MIN(J177,8))</x:f>
      </x:c>
      <x:c r="L177" s="22" t="str">
        <x:f>IF(A177="","",MAX(J177-8,0))</x:f>
      </x:c>
      <x:c r="M177" s="20" t="str">
        <x:f>IF(A177="","",K177*Settings!$B$5)</x:f>
      </x:c>
      <x:c r="N177" s="20" t="str">
        <x:f>IF(A177="","",L177*Settings!$B$6)</x:f>
      </x:c>
      <x:c r="O177" s="22"/>
      <x:c r="P177" s="22"/>
      <x:c r="Q177" s="22" t="str">
        <x:f>IF(A177="","",MAX(O177-Settings!$B$7,0))</x:f>
      </x:c>
      <x:c r="R177" s="20" t="str">
        <x:f>IF(A177="","",Q177*Settings!$B$8)</x:f>
      </x:c>
      <x:c r="S177" s="20" t="str">
        <x:f>IF(A177="","",M177+N177)</x:f>
      </x:c>
      <x:c r="T177" s="20" t="str">
        <x:f>IF(A177="","",S177+R177)</x:f>
      </x:c>
    </x:row>
    <x:row r="178">
      <x:c r="A178" s="26"/>
      <x:c r="B178" s="26" t="str">
        <x:f>IF(A178="","",A178-MOD(WEEKDAY(A178,2)-5,7))</x:f>
      </x:c>
      <x:c r="C178" s="26" t="str">
        <x:f>IF(B178="","",B178+7)</x:f>
      </x:c>
      <x:c r="D178" t="str">
        <x:f>IF(A178="","",TEXT(A178,"dddd"))</x:f>
      </x:c>
      <x:c r="E178" s="24"/>
      <x:c r="F178" s="24"/>
      <x:c r="G178" s="32" t="n">
        <x:f>IF(AND(E178&lt;Settings!$B$11,F178&gt;Settings!$B$11),Settings!$B$12,0)</x:f>
        <x:v>0</x:v>
      </x:c>
      <x:c r="H178" s="32" t="n">
        <x:f>IF(AND(E178&lt;Settings!$B$13,F178&gt;Settings!$B$13),Settings!$B$14,0)</x:f>
        <x:v>0</x:v>
      </x:c>
      <x:c r="I178" s="32" t="str">
        <x:f>IF(A178="","",G178+H178)</x:f>
      </x:c>
      <x:c r="J178" s="22" t="str">
        <x:f>IF(A178="","",((F178-E178)*24)-(I178/60))</x:f>
      </x:c>
      <x:c r="K178" s="22" t="str">
        <x:f>IF(A178="","",MIN(J178,8))</x:f>
      </x:c>
      <x:c r="L178" s="22" t="str">
        <x:f>IF(A178="","",MAX(J178-8,0))</x:f>
      </x:c>
      <x:c r="M178" s="20" t="str">
        <x:f>IF(A178="","",K178*Settings!$B$5)</x:f>
      </x:c>
      <x:c r="N178" s="20" t="str">
        <x:f>IF(A178="","",L178*Settings!$B$6)</x:f>
      </x:c>
      <x:c r="O178" s="22"/>
      <x:c r="P178" s="22"/>
      <x:c r="Q178" s="22" t="str">
        <x:f>IF(A178="","",MAX(O178-Settings!$B$7,0))</x:f>
      </x:c>
      <x:c r="R178" s="20" t="str">
        <x:f>IF(A178="","",Q178*Settings!$B$8)</x:f>
      </x:c>
      <x:c r="S178" s="20" t="str">
        <x:f>IF(A178="","",M178+N178)</x:f>
      </x:c>
      <x:c r="T178" s="20" t="str">
        <x:f>IF(A178="","",S178+R178)</x:f>
      </x:c>
    </x:row>
    <x:row r="179">
      <x:c r="A179" s="26"/>
      <x:c r="B179" s="26" t="str">
        <x:f>IF(A179="","",A179-MOD(WEEKDAY(A179,2)-5,7))</x:f>
      </x:c>
      <x:c r="C179" s="26" t="str">
        <x:f>IF(B179="","",B179+7)</x:f>
      </x:c>
      <x:c r="D179" t="str">
        <x:f>IF(A179="","",TEXT(A179,"dddd"))</x:f>
      </x:c>
      <x:c r="E179" s="24"/>
      <x:c r="F179" s="24"/>
      <x:c r="G179" s="32" t="n">
        <x:f>IF(AND(E179&lt;Settings!$B$11,F179&gt;Settings!$B$11),Settings!$B$12,0)</x:f>
        <x:v>0</x:v>
      </x:c>
      <x:c r="H179" s="32" t="n">
        <x:f>IF(AND(E179&lt;Settings!$B$13,F179&gt;Settings!$B$13),Settings!$B$14,0)</x:f>
        <x:v>0</x:v>
      </x:c>
      <x:c r="I179" s="32" t="str">
        <x:f>IF(A179="","",G179+H179)</x:f>
      </x:c>
      <x:c r="J179" s="22" t="str">
        <x:f>IF(A179="","",((F179-E179)*24)-(I179/60))</x:f>
      </x:c>
      <x:c r="K179" s="22" t="str">
        <x:f>IF(A179="","",MIN(J179,8))</x:f>
      </x:c>
      <x:c r="L179" s="22" t="str">
        <x:f>IF(A179="","",MAX(J179-8,0))</x:f>
      </x:c>
      <x:c r="M179" s="20" t="str">
        <x:f>IF(A179="","",K179*Settings!$B$5)</x:f>
      </x:c>
      <x:c r="N179" s="20" t="str">
        <x:f>IF(A179="","",L179*Settings!$B$6)</x:f>
      </x:c>
      <x:c r="O179" s="22"/>
      <x:c r="P179" s="22"/>
      <x:c r="Q179" s="22" t="str">
        <x:f>IF(A179="","",MAX(O179-Settings!$B$7,0))</x:f>
      </x:c>
      <x:c r="R179" s="20" t="str">
        <x:f>IF(A179="","",Q179*Settings!$B$8)</x:f>
      </x:c>
      <x:c r="S179" s="20" t="str">
        <x:f>IF(A179="","",M179+N179)</x:f>
      </x:c>
      <x:c r="T179" s="20" t="str">
        <x:f>IF(A179="","",S179+R179)</x:f>
      </x:c>
    </x:row>
    <x:row r="180">
      <x:c r="A180" s="26"/>
      <x:c r="B180" s="26" t="str">
        <x:f>IF(A180="","",A180-MOD(WEEKDAY(A180,2)-5,7))</x:f>
      </x:c>
      <x:c r="C180" s="26" t="str">
        <x:f>IF(B180="","",B180+7)</x:f>
      </x:c>
      <x:c r="D180" t="str">
        <x:f>IF(A180="","",TEXT(A180,"dddd"))</x:f>
      </x:c>
      <x:c r="E180" s="24"/>
      <x:c r="F180" s="24"/>
      <x:c r="G180" s="32" t="n">
        <x:f>IF(AND(E180&lt;Settings!$B$11,F180&gt;Settings!$B$11),Settings!$B$12,0)</x:f>
        <x:v>0</x:v>
      </x:c>
      <x:c r="H180" s="32" t="n">
        <x:f>IF(AND(E180&lt;Settings!$B$13,F180&gt;Settings!$B$13),Settings!$B$14,0)</x:f>
        <x:v>0</x:v>
      </x:c>
      <x:c r="I180" s="32" t="str">
        <x:f>IF(A180="","",G180+H180)</x:f>
      </x:c>
      <x:c r="J180" s="22" t="str">
        <x:f>IF(A180="","",((F180-E180)*24)-(I180/60))</x:f>
      </x:c>
      <x:c r="K180" s="22" t="str">
        <x:f>IF(A180="","",MIN(J180,8))</x:f>
      </x:c>
      <x:c r="L180" s="22" t="str">
        <x:f>IF(A180="","",MAX(J180-8,0))</x:f>
      </x:c>
      <x:c r="M180" s="20" t="str">
        <x:f>IF(A180="","",K180*Settings!$B$5)</x:f>
      </x:c>
      <x:c r="N180" s="20" t="str">
        <x:f>IF(A180="","",L180*Settings!$B$6)</x:f>
      </x:c>
      <x:c r="O180" s="22"/>
      <x:c r="P180" s="22"/>
      <x:c r="Q180" s="22" t="str">
        <x:f>IF(A180="","",MAX(O180-Settings!$B$7,0))</x:f>
      </x:c>
      <x:c r="R180" s="20" t="str">
        <x:f>IF(A180="","",Q180*Settings!$B$8)</x:f>
      </x:c>
      <x:c r="S180" s="20" t="str">
        <x:f>IF(A180="","",M180+N180)</x:f>
      </x:c>
      <x:c r="T180" s="20" t="str">
        <x:f>IF(A180="","",S180+R180)</x:f>
      </x:c>
    </x:row>
    <x:row r="181">
      <x:c r="A181" s="26"/>
      <x:c r="B181" s="26" t="str">
        <x:f>IF(A181="","",A181-MOD(WEEKDAY(A181,2)-5,7))</x:f>
      </x:c>
      <x:c r="C181" s="26" t="str">
        <x:f>IF(B181="","",B181+7)</x:f>
      </x:c>
      <x:c r="D181" t="str">
        <x:f>IF(A181="","",TEXT(A181,"dddd"))</x:f>
      </x:c>
      <x:c r="E181" s="24"/>
      <x:c r="F181" s="24"/>
      <x:c r="G181" s="32" t="n">
        <x:f>IF(AND(E181&lt;Settings!$B$11,F181&gt;Settings!$B$11),Settings!$B$12,0)</x:f>
        <x:v>0</x:v>
      </x:c>
      <x:c r="H181" s="32" t="n">
        <x:f>IF(AND(E181&lt;Settings!$B$13,F181&gt;Settings!$B$13),Settings!$B$14,0)</x:f>
        <x:v>0</x:v>
      </x:c>
      <x:c r="I181" s="32" t="str">
        <x:f>IF(A181="","",G181+H181)</x:f>
      </x:c>
      <x:c r="J181" s="22" t="str">
        <x:f>IF(A181="","",((F181-E181)*24)-(I181/60))</x:f>
      </x:c>
      <x:c r="K181" s="22" t="str">
        <x:f>IF(A181="","",MIN(J181,8))</x:f>
      </x:c>
      <x:c r="L181" s="22" t="str">
        <x:f>IF(A181="","",MAX(J181-8,0))</x:f>
      </x:c>
      <x:c r="M181" s="20" t="str">
        <x:f>IF(A181="","",K181*Settings!$B$5)</x:f>
      </x:c>
      <x:c r="N181" s="20" t="str">
        <x:f>IF(A181="","",L181*Settings!$B$6)</x:f>
      </x:c>
      <x:c r="O181" s="22"/>
      <x:c r="P181" s="22"/>
      <x:c r="Q181" s="22" t="str">
        <x:f>IF(A181="","",MAX(O181-Settings!$B$7,0))</x:f>
      </x:c>
      <x:c r="R181" s="20" t="str">
        <x:f>IF(A181="","",Q181*Settings!$B$8)</x:f>
      </x:c>
      <x:c r="S181" s="20" t="str">
        <x:f>IF(A181="","",M181+N181)</x:f>
      </x:c>
      <x:c r="T181" s="20" t="str">
        <x:f>IF(A181="","",S181+R181)</x:f>
      </x:c>
    </x:row>
    <x:row r="182">
      <x:c r="A182" s="26"/>
      <x:c r="B182" s="26" t="str">
        <x:f>IF(A182="","",A182-MOD(WEEKDAY(A182,2)-5,7))</x:f>
      </x:c>
      <x:c r="C182" s="26" t="str">
        <x:f>IF(B182="","",B182+7)</x:f>
      </x:c>
      <x:c r="D182" t="str">
        <x:f>IF(A182="","",TEXT(A182,"dddd"))</x:f>
      </x:c>
      <x:c r="E182" s="24"/>
      <x:c r="F182" s="24"/>
      <x:c r="G182" s="32" t="n">
        <x:f>IF(AND(E182&lt;Settings!$B$11,F182&gt;Settings!$B$11),Settings!$B$12,0)</x:f>
        <x:v>0</x:v>
      </x:c>
      <x:c r="H182" s="32" t="n">
        <x:f>IF(AND(E182&lt;Settings!$B$13,F182&gt;Settings!$B$13),Settings!$B$14,0)</x:f>
        <x:v>0</x:v>
      </x:c>
      <x:c r="I182" s="32" t="str">
        <x:f>IF(A182="","",G182+H182)</x:f>
      </x:c>
      <x:c r="J182" s="22" t="str">
        <x:f>IF(A182="","",((F182-E182)*24)-(I182/60))</x:f>
      </x:c>
      <x:c r="K182" s="22" t="str">
        <x:f>IF(A182="","",MIN(J182,8))</x:f>
      </x:c>
      <x:c r="L182" s="22" t="str">
        <x:f>IF(A182="","",MAX(J182-8,0))</x:f>
      </x:c>
      <x:c r="M182" s="20" t="str">
        <x:f>IF(A182="","",K182*Settings!$B$5)</x:f>
      </x:c>
      <x:c r="N182" s="20" t="str">
        <x:f>IF(A182="","",L182*Settings!$B$6)</x:f>
      </x:c>
      <x:c r="O182" s="22"/>
      <x:c r="P182" s="22"/>
      <x:c r="Q182" s="22" t="str">
        <x:f>IF(A182="","",MAX(O182-Settings!$B$7,0))</x:f>
      </x:c>
      <x:c r="R182" s="20" t="str">
        <x:f>IF(A182="","",Q182*Settings!$B$8)</x:f>
      </x:c>
      <x:c r="S182" s="20" t="str">
        <x:f>IF(A182="","",M182+N182)</x:f>
      </x:c>
      <x:c r="T182" s="20" t="str">
        <x:f>IF(A182="","",S182+R182)</x:f>
      </x:c>
    </x:row>
    <x:row r="183">
      <x:c r="A183" s="26"/>
      <x:c r="B183" s="26" t="str">
        <x:f>IF(A183="","",A183-MOD(WEEKDAY(A183,2)-5,7))</x:f>
      </x:c>
      <x:c r="C183" s="26" t="str">
        <x:f>IF(B183="","",B183+7)</x:f>
      </x:c>
      <x:c r="D183" t="str">
        <x:f>IF(A183="","",TEXT(A183,"dddd"))</x:f>
      </x:c>
      <x:c r="E183" s="24"/>
      <x:c r="F183" s="24"/>
      <x:c r="G183" s="32" t="n">
        <x:f>IF(AND(E183&lt;Settings!$B$11,F183&gt;Settings!$B$11),Settings!$B$12,0)</x:f>
        <x:v>0</x:v>
      </x:c>
      <x:c r="H183" s="32" t="n">
        <x:f>IF(AND(E183&lt;Settings!$B$13,F183&gt;Settings!$B$13),Settings!$B$14,0)</x:f>
        <x:v>0</x:v>
      </x:c>
      <x:c r="I183" s="32" t="str">
        <x:f>IF(A183="","",G183+H183)</x:f>
      </x:c>
      <x:c r="J183" s="22" t="str">
        <x:f>IF(A183="","",((F183-E183)*24)-(I183/60))</x:f>
      </x:c>
      <x:c r="K183" s="22" t="str">
        <x:f>IF(A183="","",MIN(J183,8))</x:f>
      </x:c>
      <x:c r="L183" s="22" t="str">
        <x:f>IF(A183="","",MAX(J183-8,0))</x:f>
      </x:c>
      <x:c r="M183" s="20" t="str">
        <x:f>IF(A183="","",K183*Settings!$B$5)</x:f>
      </x:c>
      <x:c r="N183" s="20" t="str">
        <x:f>IF(A183="","",L183*Settings!$B$6)</x:f>
      </x:c>
      <x:c r="O183" s="22"/>
      <x:c r="P183" s="22"/>
      <x:c r="Q183" s="22" t="str">
        <x:f>IF(A183="","",MAX(O183-Settings!$B$7,0))</x:f>
      </x:c>
      <x:c r="R183" s="20" t="str">
        <x:f>IF(A183="","",Q183*Settings!$B$8)</x:f>
      </x:c>
      <x:c r="S183" s="20" t="str">
        <x:f>IF(A183="","",M183+N183)</x:f>
      </x:c>
      <x:c r="T183" s="20" t="str">
        <x:f>IF(A183="","",S183+R183)</x:f>
      </x:c>
    </x:row>
    <x:row r="184">
      <x:c r="A184" s="26"/>
      <x:c r="B184" s="26" t="str">
        <x:f>IF(A184="","",A184-MOD(WEEKDAY(A184,2)-5,7))</x:f>
      </x:c>
      <x:c r="C184" s="26" t="str">
        <x:f>IF(B184="","",B184+7)</x:f>
      </x:c>
      <x:c r="D184" t="str">
        <x:f>IF(A184="","",TEXT(A184,"dddd"))</x:f>
      </x:c>
      <x:c r="E184" s="24"/>
      <x:c r="F184" s="24"/>
      <x:c r="G184" s="32" t="n">
        <x:f>IF(AND(E184&lt;Settings!$B$11,F184&gt;Settings!$B$11),Settings!$B$12,0)</x:f>
        <x:v>0</x:v>
      </x:c>
      <x:c r="H184" s="32" t="n">
        <x:f>IF(AND(E184&lt;Settings!$B$13,F184&gt;Settings!$B$13),Settings!$B$14,0)</x:f>
        <x:v>0</x:v>
      </x:c>
      <x:c r="I184" s="32" t="str">
        <x:f>IF(A184="","",G184+H184)</x:f>
      </x:c>
      <x:c r="J184" s="22" t="str">
        <x:f>IF(A184="","",((F184-E184)*24)-(I184/60))</x:f>
      </x:c>
      <x:c r="K184" s="22" t="str">
        <x:f>IF(A184="","",MIN(J184,8))</x:f>
      </x:c>
      <x:c r="L184" s="22" t="str">
        <x:f>IF(A184="","",MAX(J184-8,0))</x:f>
      </x:c>
      <x:c r="M184" s="20" t="str">
        <x:f>IF(A184="","",K184*Settings!$B$5)</x:f>
      </x:c>
      <x:c r="N184" s="20" t="str">
        <x:f>IF(A184="","",L184*Settings!$B$6)</x:f>
      </x:c>
      <x:c r="O184" s="22"/>
      <x:c r="P184" s="22"/>
      <x:c r="Q184" s="22" t="str">
        <x:f>IF(A184="","",MAX(O184-Settings!$B$7,0))</x:f>
      </x:c>
      <x:c r="R184" s="20" t="str">
        <x:f>IF(A184="","",Q184*Settings!$B$8)</x:f>
      </x:c>
      <x:c r="S184" s="20" t="str">
        <x:f>IF(A184="","",M184+N184)</x:f>
      </x:c>
      <x:c r="T184" s="20" t="str">
        <x:f>IF(A184="","",S184+R184)</x:f>
      </x:c>
    </x:row>
    <x:row r="185">
      <x:c r="A185" s="26"/>
      <x:c r="B185" s="26" t="str">
        <x:f>IF(A185="","",A185-MOD(WEEKDAY(A185,2)-5,7))</x:f>
      </x:c>
      <x:c r="C185" s="26" t="str">
        <x:f>IF(B185="","",B185+7)</x:f>
      </x:c>
      <x:c r="D185" t="str">
        <x:f>IF(A185="","",TEXT(A185,"dddd"))</x:f>
      </x:c>
      <x:c r="E185" s="24"/>
      <x:c r="F185" s="24"/>
      <x:c r="G185" s="32" t="n">
        <x:f>IF(AND(E185&lt;Settings!$B$11,F185&gt;Settings!$B$11),Settings!$B$12,0)</x:f>
        <x:v>0</x:v>
      </x:c>
      <x:c r="H185" s="32" t="n">
        <x:f>IF(AND(E185&lt;Settings!$B$13,F185&gt;Settings!$B$13),Settings!$B$14,0)</x:f>
        <x:v>0</x:v>
      </x:c>
      <x:c r="I185" s="32" t="str">
        <x:f>IF(A185="","",G185+H185)</x:f>
      </x:c>
      <x:c r="J185" s="22" t="str">
        <x:f>IF(A185="","",((F185-E185)*24)-(I185/60))</x:f>
      </x:c>
      <x:c r="K185" s="22" t="str">
        <x:f>IF(A185="","",MIN(J185,8))</x:f>
      </x:c>
      <x:c r="L185" s="22" t="str">
        <x:f>IF(A185="","",MAX(J185-8,0))</x:f>
      </x:c>
      <x:c r="M185" s="20" t="str">
        <x:f>IF(A185="","",K185*Settings!$B$5)</x:f>
      </x:c>
      <x:c r="N185" s="20" t="str">
        <x:f>IF(A185="","",L185*Settings!$B$6)</x:f>
      </x:c>
      <x:c r="O185" s="22"/>
      <x:c r="P185" s="22"/>
      <x:c r="Q185" s="22" t="str">
        <x:f>IF(A185="","",MAX(O185-Settings!$B$7,0))</x:f>
      </x:c>
      <x:c r="R185" s="20" t="str">
        <x:f>IF(A185="","",Q185*Settings!$B$8)</x:f>
      </x:c>
      <x:c r="S185" s="20" t="str">
        <x:f>IF(A185="","",M185+N185)</x:f>
      </x:c>
      <x:c r="T185" s="20" t="str">
        <x:f>IF(A185="","",S185+R185)</x:f>
      </x:c>
    </x:row>
    <x:row r="186">
      <x:c r="A186" s="26"/>
      <x:c r="B186" s="26" t="str">
        <x:f>IF(A186="","",A186-MOD(WEEKDAY(A186,2)-5,7))</x:f>
      </x:c>
      <x:c r="C186" s="26" t="str">
        <x:f>IF(B186="","",B186+7)</x:f>
      </x:c>
      <x:c r="D186" t="str">
        <x:f>IF(A186="","",TEXT(A186,"dddd"))</x:f>
      </x:c>
      <x:c r="E186" s="24"/>
      <x:c r="F186" s="24"/>
      <x:c r="G186" s="32" t="n">
        <x:f>IF(AND(E186&lt;Settings!$B$11,F186&gt;Settings!$B$11),Settings!$B$12,0)</x:f>
        <x:v>0</x:v>
      </x:c>
      <x:c r="H186" s="32" t="n">
        <x:f>IF(AND(E186&lt;Settings!$B$13,F186&gt;Settings!$B$13),Settings!$B$14,0)</x:f>
        <x:v>0</x:v>
      </x:c>
      <x:c r="I186" s="32" t="str">
        <x:f>IF(A186="","",G186+H186)</x:f>
      </x:c>
      <x:c r="J186" s="22" t="str">
        <x:f>IF(A186="","",((F186-E186)*24)-(I186/60))</x:f>
      </x:c>
      <x:c r="K186" s="22" t="str">
        <x:f>IF(A186="","",MIN(J186,8))</x:f>
      </x:c>
      <x:c r="L186" s="22" t="str">
        <x:f>IF(A186="","",MAX(J186-8,0))</x:f>
      </x:c>
      <x:c r="M186" s="20" t="str">
        <x:f>IF(A186="","",K186*Settings!$B$5)</x:f>
      </x:c>
      <x:c r="N186" s="20" t="str">
        <x:f>IF(A186="","",L186*Settings!$B$6)</x:f>
      </x:c>
      <x:c r="O186" s="22"/>
      <x:c r="P186" s="22"/>
      <x:c r="Q186" s="22" t="str">
        <x:f>IF(A186="","",MAX(O186-Settings!$B$7,0))</x:f>
      </x:c>
      <x:c r="R186" s="20" t="str">
        <x:f>IF(A186="","",Q186*Settings!$B$8)</x:f>
      </x:c>
      <x:c r="S186" s="20" t="str">
        <x:f>IF(A186="","",M186+N186)</x:f>
      </x:c>
      <x:c r="T186" s="20" t="str">
        <x:f>IF(A186="","",S186+R186)</x:f>
      </x:c>
    </x:row>
    <x:row r="187">
      <x:c r="A187" s="26"/>
      <x:c r="B187" s="26" t="str">
        <x:f>IF(A187="","",A187-MOD(WEEKDAY(A187,2)-5,7))</x:f>
      </x:c>
      <x:c r="C187" s="26" t="str">
        <x:f>IF(B187="","",B187+7)</x:f>
      </x:c>
      <x:c r="D187" t="str">
        <x:f>IF(A187="","",TEXT(A187,"dddd"))</x:f>
      </x:c>
      <x:c r="E187" s="24"/>
      <x:c r="F187" s="24"/>
      <x:c r="G187" s="32" t="n">
        <x:f>IF(AND(E187&lt;Settings!$B$11,F187&gt;Settings!$B$11),Settings!$B$12,0)</x:f>
        <x:v>0</x:v>
      </x:c>
      <x:c r="H187" s="32" t="n">
        <x:f>IF(AND(E187&lt;Settings!$B$13,F187&gt;Settings!$B$13),Settings!$B$14,0)</x:f>
        <x:v>0</x:v>
      </x:c>
      <x:c r="I187" s="32" t="str">
        <x:f>IF(A187="","",G187+H187)</x:f>
      </x:c>
      <x:c r="J187" s="22" t="str">
        <x:f>IF(A187="","",((F187-E187)*24)-(I187/60))</x:f>
      </x:c>
      <x:c r="K187" s="22" t="str">
        <x:f>IF(A187="","",MIN(J187,8))</x:f>
      </x:c>
      <x:c r="L187" s="22" t="str">
        <x:f>IF(A187="","",MAX(J187-8,0))</x:f>
      </x:c>
      <x:c r="M187" s="20" t="str">
        <x:f>IF(A187="","",K187*Settings!$B$5)</x:f>
      </x:c>
      <x:c r="N187" s="20" t="str">
        <x:f>IF(A187="","",L187*Settings!$B$6)</x:f>
      </x:c>
      <x:c r="O187" s="22"/>
      <x:c r="P187" s="22"/>
      <x:c r="Q187" s="22" t="str">
        <x:f>IF(A187="","",MAX(O187-Settings!$B$7,0))</x:f>
      </x:c>
      <x:c r="R187" s="20" t="str">
        <x:f>IF(A187="","",Q187*Settings!$B$8)</x:f>
      </x:c>
      <x:c r="S187" s="20" t="str">
        <x:f>IF(A187="","",M187+N187)</x:f>
      </x:c>
      <x:c r="T187" s="20" t="str">
        <x:f>IF(A187="","",S187+R187)</x:f>
      </x:c>
    </x:row>
    <x:row r="188">
      <x:c r="A188" s="26"/>
      <x:c r="B188" s="26" t="str">
        <x:f>IF(A188="","",A188-MOD(WEEKDAY(A188,2)-5,7))</x:f>
      </x:c>
      <x:c r="C188" s="26" t="str">
        <x:f>IF(B188="","",B188+7)</x:f>
      </x:c>
      <x:c r="D188" t="str">
        <x:f>IF(A188="","",TEXT(A188,"dddd"))</x:f>
      </x:c>
      <x:c r="E188" s="24"/>
      <x:c r="F188" s="24"/>
      <x:c r="G188" s="32" t="n">
        <x:f>IF(AND(E188&lt;Settings!$B$11,F188&gt;Settings!$B$11),Settings!$B$12,0)</x:f>
        <x:v>0</x:v>
      </x:c>
      <x:c r="H188" s="32" t="n">
        <x:f>IF(AND(E188&lt;Settings!$B$13,F188&gt;Settings!$B$13),Settings!$B$14,0)</x:f>
        <x:v>0</x:v>
      </x:c>
      <x:c r="I188" s="32" t="str">
        <x:f>IF(A188="","",G188+H188)</x:f>
      </x:c>
      <x:c r="J188" s="22" t="str">
        <x:f>IF(A188="","",((F188-E188)*24)-(I188/60))</x:f>
      </x:c>
      <x:c r="K188" s="22" t="str">
        <x:f>IF(A188="","",MIN(J188,8))</x:f>
      </x:c>
      <x:c r="L188" s="22" t="str">
        <x:f>IF(A188="","",MAX(J188-8,0))</x:f>
      </x:c>
      <x:c r="M188" s="20" t="str">
        <x:f>IF(A188="","",K188*Settings!$B$5)</x:f>
      </x:c>
      <x:c r="N188" s="20" t="str">
        <x:f>IF(A188="","",L188*Settings!$B$6)</x:f>
      </x:c>
      <x:c r="O188" s="22"/>
      <x:c r="P188" s="22"/>
      <x:c r="Q188" s="22" t="str">
        <x:f>IF(A188="","",MAX(O188-Settings!$B$7,0))</x:f>
      </x:c>
      <x:c r="R188" s="20" t="str">
        <x:f>IF(A188="","",Q188*Settings!$B$8)</x:f>
      </x:c>
      <x:c r="S188" s="20" t="str">
        <x:f>IF(A188="","",M188+N188)</x:f>
      </x:c>
      <x:c r="T188" s="20" t="str">
        <x:f>IF(A188="","",S188+R188)</x:f>
      </x:c>
    </x:row>
    <x:row r="189">
      <x:c r="A189" s="26"/>
      <x:c r="B189" s="26" t="str">
        <x:f>IF(A189="","",A189-MOD(WEEKDAY(A189,2)-5,7))</x:f>
      </x:c>
      <x:c r="C189" s="26" t="str">
        <x:f>IF(B189="","",B189+7)</x:f>
      </x:c>
      <x:c r="D189" t="str">
        <x:f>IF(A189="","",TEXT(A189,"dddd"))</x:f>
      </x:c>
      <x:c r="E189" s="24"/>
      <x:c r="F189" s="24"/>
      <x:c r="G189" s="32" t="n">
        <x:f>IF(AND(E189&lt;Settings!$B$11,F189&gt;Settings!$B$11),Settings!$B$12,0)</x:f>
        <x:v>0</x:v>
      </x:c>
      <x:c r="H189" s="32" t="n">
        <x:f>IF(AND(E189&lt;Settings!$B$13,F189&gt;Settings!$B$13),Settings!$B$14,0)</x:f>
        <x:v>0</x:v>
      </x:c>
      <x:c r="I189" s="32" t="str">
        <x:f>IF(A189="","",G189+H189)</x:f>
      </x:c>
      <x:c r="J189" s="22" t="str">
        <x:f>IF(A189="","",((F189-E189)*24)-(I189/60))</x:f>
      </x:c>
      <x:c r="K189" s="22" t="str">
        <x:f>IF(A189="","",MIN(J189,8))</x:f>
      </x:c>
      <x:c r="L189" s="22" t="str">
        <x:f>IF(A189="","",MAX(J189-8,0))</x:f>
      </x:c>
      <x:c r="M189" s="20" t="str">
        <x:f>IF(A189="","",K189*Settings!$B$5)</x:f>
      </x:c>
      <x:c r="N189" s="20" t="str">
        <x:f>IF(A189="","",L189*Settings!$B$6)</x:f>
      </x:c>
      <x:c r="O189" s="22"/>
      <x:c r="P189" s="22"/>
      <x:c r="Q189" s="22" t="str">
        <x:f>IF(A189="","",MAX(O189-Settings!$B$7,0))</x:f>
      </x:c>
      <x:c r="R189" s="20" t="str">
        <x:f>IF(A189="","",Q189*Settings!$B$8)</x:f>
      </x:c>
      <x:c r="S189" s="20" t="str">
        <x:f>IF(A189="","",M189+N189)</x:f>
      </x:c>
      <x:c r="T189" s="20" t="str">
        <x:f>IF(A189="","",S189+R189)</x:f>
      </x:c>
    </x:row>
    <x:row r="190">
      <x:c r="A190" s="26"/>
      <x:c r="B190" s="26" t="str">
        <x:f>IF(A190="","",A190-MOD(WEEKDAY(A190,2)-5,7))</x:f>
      </x:c>
      <x:c r="C190" s="26" t="str">
        <x:f>IF(B190="","",B190+7)</x:f>
      </x:c>
      <x:c r="D190" t="str">
        <x:f>IF(A190="","",TEXT(A190,"dddd"))</x:f>
      </x:c>
      <x:c r="E190" s="24"/>
      <x:c r="F190" s="24"/>
      <x:c r="G190" s="32" t="n">
        <x:f>IF(AND(E190&lt;Settings!$B$11,F190&gt;Settings!$B$11),Settings!$B$12,0)</x:f>
        <x:v>0</x:v>
      </x:c>
      <x:c r="H190" s="32" t="n">
        <x:f>IF(AND(E190&lt;Settings!$B$13,F190&gt;Settings!$B$13),Settings!$B$14,0)</x:f>
        <x:v>0</x:v>
      </x:c>
      <x:c r="I190" s="32" t="str">
        <x:f>IF(A190="","",G190+H190)</x:f>
      </x:c>
      <x:c r="J190" s="22" t="str">
        <x:f>IF(A190="","",((F190-E190)*24)-(I190/60))</x:f>
      </x:c>
      <x:c r="K190" s="22" t="str">
        <x:f>IF(A190="","",MIN(J190,8))</x:f>
      </x:c>
      <x:c r="L190" s="22" t="str">
        <x:f>IF(A190="","",MAX(J190-8,0))</x:f>
      </x:c>
      <x:c r="M190" s="20" t="str">
        <x:f>IF(A190="","",K190*Settings!$B$5)</x:f>
      </x:c>
      <x:c r="N190" s="20" t="str">
        <x:f>IF(A190="","",L190*Settings!$B$6)</x:f>
      </x:c>
      <x:c r="O190" s="22"/>
      <x:c r="P190" s="22"/>
      <x:c r="Q190" s="22" t="str">
        <x:f>IF(A190="","",MAX(O190-Settings!$B$7,0))</x:f>
      </x:c>
      <x:c r="R190" s="20" t="str">
        <x:f>IF(A190="","",Q190*Settings!$B$8)</x:f>
      </x:c>
      <x:c r="S190" s="20" t="str">
        <x:f>IF(A190="","",M190+N190)</x:f>
      </x:c>
      <x:c r="T190" s="20" t="str">
        <x:f>IF(A190="","",S190+R190)</x:f>
      </x:c>
    </x:row>
    <x:row r="191">
      <x:c r="A191" s="26"/>
      <x:c r="B191" s="26" t="str">
        <x:f>IF(A191="","",A191-MOD(WEEKDAY(A191,2)-5,7))</x:f>
      </x:c>
      <x:c r="C191" s="26" t="str">
        <x:f>IF(B191="","",B191+7)</x:f>
      </x:c>
      <x:c r="D191" t="str">
        <x:f>IF(A191="","",TEXT(A191,"dddd"))</x:f>
      </x:c>
      <x:c r="E191" s="24"/>
      <x:c r="F191" s="24"/>
      <x:c r="G191" s="32" t="n">
        <x:f>IF(AND(E191&lt;Settings!$B$11,F191&gt;Settings!$B$11),Settings!$B$12,0)</x:f>
        <x:v>0</x:v>
      </x:c>
      <x:c r="H191" s="32" t="n">
        <x:f>IF(AND(E191&lt;Settings!$B$13,F191&gt;Settings!$B$13),Settings!$B$14,0)</x:f>
        <x:v>0</x:v>
      </x:c>
      <x:c r="I191" s="32" t="str">
        <x:f>IF(A191="","",G191+H191)</x:f>
      </x:c>
      <x:c r="J191" s="22" t="str">
        <x:f>IF(A191="","",((F191-E191)*24)-(I191/60))</x:f>
      </x:c>
      <x:c r="K191" s="22" t="str">
        <x:f>IF(A191="","",MIN(J191,8))</x:f>
      </x:c>
      <x:c r="L191" s="22" t="str">
        <x:f>IF(A191="","",MAX(J191-8,0))</x:f>
      </x:c>
      <x:c r="M191" s="20" t="str">
        <x:f>IF(A191="","",K191*Settings!$B$5)</x:f>
      </x:c>
      <x:c r="N191" s="20" t="str">
        <x:f>IF(A191="","",L191*Settings!$B$6)</x:f>
      </x:c>
      <x:c r="O191" s="22"/>
      <x:c r="P191" s="22"/>
      <x:c r="Q191" s="22" t="str">
        <x:f>IF(A191="","",MAX(O191-Settings!$B$7,0))</x:f>
      </x:c>
      <x:c r="R191" s="20" t="str">
        <x:f>IF(A191="","",Q191*Settings!$B$8)</x:f>
      </x:c>
      <x:c r="S191" s="20" t="str">
        <x:f>IF(A191="","",M191+N191)</x:f>
      </x:c>
      <x:c r="T191" s="20" t="str">
        <x:f>IF(A191="","",S191+R191)</x:f>
      </x:c>
    </x:row>
    <x:row r="192">
      <x:c r="A192" s="26"/>
      <x:c r="B192" s="26" t="str">
        <x:f>IF(A192="","",A192-MOD(WEEKDAY(A192,2)-5,7))</x:f>
      </x:c>
      <x:c r="C192" s="26" t="str">
        <x:f>IF(B192="","",B192+7)</x:f>
      </x:c>
      <x:c r="D192" t="str">
        <x:f>IF(A192="","",TEXT(A192,"dddd"))</x:f>
      </x:c>
      <x:c r="E192" s="24"/>
      <x:c r="F192" s="24"/>
      <x:c r="G192" s="32" t="n">
        <x:f>IF(AND(E192&lt;Settings!$B$11,F192&gt;Settings!$B$11),Settings!$B$12,0)</x:f>
        <x:v>0</x:v>
      </x:c>
      <x:c r="H192" s="32" t="n">
        <x:f>IF(AND(E192&lt;Settings!$B$13,F192&gt;Settings!$B$13),Settings!$B$14,0)</x:f>
        <x:v>0</x:v>
      </x:c>
      <x:c r="I192" s="32" t="str">
        <x:f>IF(A192="","",G192+H192)</x:f>
      </x:c>
      <x:c r="J192" s="22" t="str">
        <x:f>IF(A192="","",((F192-E192)*24)-(I192/60))</x:f>
      </x:c>
      <x:c r="K192" s="22" t="str">
        <x:f>IF(A192="","",MIN(J192,8))</x:f>
      </x:c>
      <x:c r="L192" s="22" t="str">
        <x:f>IF(A192="","",MAX(J192-8,0))</x:f>
      </x:c>
      <x:c r="M192" s="20" t="str">
        <x:f>IF(A192="","",K192*Settings!$B$5)</x:f>
      </x:c>
      <x:c r="N192" s="20" t="str">
        <x:f>IF(A192="","",L192*Settings!$B$6)</x:f>
      </x:c>
      <x:c r="O192" s="22"/>
      <x:c r="P192" s="22"/>
      <x:c r="Q192" s="22" t="str">
        <x:f>IF(A192="","",MAX(O192-Settings!$B$7,0))</x:f>
      </x:c>
      <x:c r="R192" s="20" t="str">
        <x:f>IF(A192="","",Q192*Settings!$B$8)</x:f>
      </x:c>
      <x:c r="S192" s="20" t="str">
        <x:f>IF(A192="","",M192+N192)</x:f>
      </x:c>
      <x:c r="T192" s="20" t="str">
        <x:f>IF(A192="","",S192+R192)</x:f>
      </x:c>
    </x:row>
    <x:row r="193">
      <x:c r="A193" s="26"/>
      <x:c r="B193" s="26" t="str">
        <x:f>IF(A193="","",A193-MOD(WEEKDAY(A193,2)-5,7))</x:f>
      </x:c>
      <x:c r="C193" s="26" t="str">
        <x:f>IF(B193="","",B193+7)</x:f>
      </x:c>
      <x:c r="D193" t="str">
        <x:f>IF(A193="","",TEXT(A193,"dddd"))</x:f>
      </x:c>
      <x:c r="E193" s="24"/>
      <x:c r="F193" s="24"/>
      <x:c r="G193" s="32" t="n">
        <x:f>IF(AND(E193&lt;Settings!$B$11,F193&gt;Settings!$B$11),Settings!$B$12,0)</x:f>
        <x:v>0</x:v>
      </x:c>
      <x:c r="H193" s="32" t="n">
        <x:f>IF(AND(E193&lt;Settings!$B$13,F193&gt;Settings!$B$13),Settings!$B$14,0)</x:f>
        <x:v>0</x:v>
      </x:c>
      <x:c r="I193" s="32" t="str">
        <x:f>IF(A193="","",G193+H193)</x:f>
      </x:c>
      <x:c r="J193" s="22" t="str">
        <x:f>IF(A193="","",((F193-E193)*24)-(I193/60))</x:f>
      </x:c>
      <x:c r="K193" s="22" t="str">
        <x:f>IF(A193="","",MIN(J193,8))</x:f>
      </x:c>
      <x:c r="L193" s="22" t="str">
        <x:f>IF(A193="","",MAX(J193-8,0))</x:f>
      </x:c>
      <x:c r="M193" s="20" t="str">
        <x:f>IF(A193="","",K193*Settings!$B$5)</x:f>
      </x:c>
      <x:c r="N193" s="20" t="str">
        <x:f>IF(A193="","",L193*Settings!$B$6)</x:f>
      </x:c>
      <x:c r="O193" s="22"/>
      <x:c r="P193" s="22"/>
      <x:c r="Q193" s="22" t="str">
        <x:f>IF(A193="","",MAX(O193-Settings!$B$7,0))</x:f>
      </x:c>
      <x:c r="R193" s="20" t="str">
        <x:f>IF(A193="","",Q193*Settings!$B$8)</x:f>
      </x:c>
      <x:c r="S193" s="20" t="str">
        <x:f>IF(A193="","",M193+N193)</x:f>
      </x:c>
      <x:c r="T193" s="20" t="str">
        <x:f>IF(A193="","",S193+R193)</x:f>
      </x:c>
    </x:row>
    <x:row r="194">
      <x:c r="A194" s="26"/>
      <x:c r="B194" s="26" t="str">
        <x:f>IF(A194="","",A194-MOD(WEEKDAY(A194,2)-5,7))</x:f>
      </x:c>
      <x:c r="C194" s="26" t="str">
        <x:f>IF(B194="","",B194+7)</x:f>
      </x:c>
      <x:c r="D194" t="str">
        <x:f>IF(A194="","",TEXT(A194,"dddd"))</x:f>
      </x:c>
      <x:c r="E194" s="24"/>
      <x:c r="F194" s="24"/>
      <x:c r="G194" s="32" t="n">
        <x:f>IF(AND(E194&lt;Settings!$B$11,F194&gt;Settings!$B$11),Settings!$B$12,0)</x:f>
        <x:v>0</x:v>
      </x:c>
      <x:c r="H194" s="32" t="n">
        <x:f>IF(AND(E194&lt;Settings!$B$13,F194&gt;Settings!$B$13),Settings!$B$14,0)</x:f>
        <x:v>0</x:v>
      </x:c>
      <x:c r="I194" s="32" t="str">
        <x:f>IF(A194="","",G194+H194)</x:f>
      </x:c>
      <x:c r="J194" s="22" t="str">
        <x:f>IF(A194="","",((F194-E194)*24)-(I194/60))</x:f>
      </x:c>
      <x:c r="K194" s="22" t="str">
        <x:f>IF(A194="","",MIN(J194,8))</x:f>
      </x:c>
      <x:c r="L194" s="22" t="str">
        <x:f>IF(A194="","",MAX(J194-8,0))</x:f>
      </x:c>
      <x:c r="M194" s="20" t="str">
        <x:f>IF(A194="","",K194*Settings!$B$5)</x:f>
      </x:c>
      <x:c r="N194" s="20" t="str">
        <x:f>IF(A194="","",L194*Settings!$B$6)</x:f>
      </x:c>
      <x:c r="O194" s="22"/>
      <x:c r="P194" s="22"/>
      <x:c r="Q194" s="22" t="str">
        <x:f>IF(A194="","",MAX(O194-Settings!$B$7,0))</x:f>
      </x:c>
      <x:c r="R194" s="20" t="str">
        <x:f>IF(A194="","",Q194*Settings!$B$8)</x:f>
      </x:c>
      <x:c r="S194" s="20" t="str">
        <x:f>IF(A194="","",M194+N194)</x:f>
      </x:c>
      <x:c r="T194" s="20" t="str">
        <x:f>IF(A194="","",S194+R194)</x:f>
      </x:c>
    </x:row>
    <x:row r="195">
      <x:c r="A195" s="26"/>
      <x:c r="B195" s="26" t="str">
        <x:f>IF(A195="","",A195-MOD(WEEKDAY(A195,2)-5,7))</x:f>
      </x:c>
      <x:c r="C195" s="26" t="str">
        <x:f>IF(B195="","",B195+7)</x:f>
      </x:c>
      <x:c r="D195" t="str">
        <x:f>IF(A195="","",TEXT(A195,"dddd"))</x:f>
      </x:c>
      <x:c r="E195" s="24"/>
      <x:c r="F195" s="24"/>
      <x:c r="G195" s="32" t="n">
        <x:f>IF(AND(E195&lt;Settings!$B$11,F195&gt;Settings!$B$11),Settings!$B$12,0)</x:f>
        <x:v>0</x:v>
      </x:c>
      <x:c r="H195" s="32" t="n">
        <x:f>IF(AND(E195&lt;Settings!$B$13,F195&gt;Settings!$B$13),Settings!$B$14,0)</x:f>
        <x:v>0</x:v>
      </x:c>
      <x:c r="I195" s="32" t="str">
        <x:f>IF(A195="","",G195+H195)</x:f>
      </x:c>
      <x:c r="J195" s="22" t="str">
        <x:f>IF(A195="","",((F195-E195)*24)-(I195/60))</x:f>
      </x:c>
      <x:c r="K195" s="22" t="str">
        <x:f>IF(A195="","",MIN(J195,8))</x:f>
      </x:c>
      <x:c r="L195" s="22" t="str">
        <x:f>IF(A195="","",MAX(J195-8,0))</x:f>
      </x:c>
      <x:c r="M195" s="20" t="str">
        <x:f>IF(A195="","",K195*Settings!$B$5)</x:f>
      </x:c>
      <x:c r="N195" s="20" t="str">
        <x:f>IF(A195="","",L195*Settings!$B$6)</x:f>
      </x:c>
      <x:c r="O195" s="22"/>
      <x:c r="P195" s="22"/>
      <x:c r="Q195" s="22" t="str">
        <x:f>IF(A195="","",MAX(O195-Settings!$B$7,0))</x:f>
      </x:c>
      <x:c r="R195" s="20" t="str">
        <x:f>IF(A195="","",Q195*Settings!$B$8)</x:f>
      </x:c>
      <x:c r="S195" s="20" t="str">
        <x:f>IF(A195="","",M195+N195)</x:f>
      </x:c>
      <x:c r="T195" s="20" t="str">
        <x:f>IF(A195="","",S195+R195)</x:f>
      </x:c>
    </x:row>
    <x:row r="196">
      <x:c r="A196" s="26"/>
      <x:c r="B196" s="26" t="str">
        <x:f>IF(A196="","",A196-MOD(WEEKDAY(A196,2)-5,7))</x:f>
      </x:c>
      <x:c r="C196" s="26" t="str">
        <x:f>IF(B196="","",B196+7)</x:f>
      </x:c>
      <x:c r="D196" t="str">
        <x:f>IF(A196="","",TEXT(A196,"dddd"))</x:f>
      </x:c>
      <x:c r="E196" s="24"/>
      <x:c r="F196" s="24"/>
      <x:c r="G196" s="32" t="n">
        <x:f>IF(AND(E196&lt;Settings!$B$11,F196&gt;Settings!$B$11),Settings!$B$12,0)</x:f>
        <x:v>0</x:v>
      </x:c>
      <x:c r="H196" s="32" t="n">
        <x:f>IF(AND(E196&lt;Settings!$B$13,F196&gt;Settings!$B$13),Settings!$B$14,0)</x:f>
        <x:v>0</x:v>
      </x:c>
      <x:c r="I196" s="32" t="str">
        <x:f>IF(A196="","",G196+H196)</x:f>
      </x:c>
      <x:c r="J196" s="22" t="str">
        <x:f>IF(A196="","",((F196-E196)*24)-(I196/60))</x:f>
      </x:c>
      <x:c r="K196" s="22" t="str">
        <x:f>IF(A196="","",MIN(J196,8))</x:f>
      </x:c>
      <x:c r="L196" s="22" t="str">
        <x:f>IF(A196="","",MAX(J196-8,0))</x:f>
      </x:c>
      <x:c r="M196" s="20" t="str">
        <x:f>IF(A196="","",K196*Settings!$B$5)</x:f>
      </x:c>
      <x:c r="N196" s="20" t="str">
        <x:f>IF(A196="","",L196*Settings!$B$6)</x:f>
      </x:c>
      <x:c r="O196" s="22"/>
      <x:c r="P196" s="22"/>
      <x:c r="Q196" s="22" t="str">
        <x:f>IF(A196="","",MAX(O196-Settings!$B$7,0))</x:f>
      </x:c>
      <x:c r="R196" s="20" t="str">
        <x:f>IF(A196="","",Q196*Settings!$B$8)</x:f>
      </x:c>
      <x:c r="S196" s="20" t="str">
        <x:f>IF(A196="","",M196+N196)</x:f>
      </x:c>
      <x:c r="T196" s="20" t="str">
        <x:f>IF(A196="","",S196+R196)</x:f>
      </x:c>
    </x:row>
    <x:row r="197">
      <x:c r="A197" s="26"/>
      <x:c r="B197" s="26" t="str">
        <x:f>IF(A197="","",A197-MOD(WEEKDAY(A197,2)-5,7))</x:f>
      </x:c>
      <x:c r="C197" s="26" t="str">
        <x:f>IF(B197="","",B197+7)</x:f>
      </x:c>
      <x:c r="D197" t="str">
        <x:f>IF(A197="","",TEXT(A197,"dddd"))</x:f>
      </x:c>
      <x:c r="E197" s="24"/>
      <x:c r="F197" s="24"/>
      <x:c r="G197" s="32" t="n">
        <x:f>IF(AND(E197&lt;Settings!$B$11,F197&gt;Settings!$B$11),Settings!$B$12,0)</x:f>
        <x:v>0</x:v>
      </x:c>
      <x:c r="H197" s="32" t="n">
        <x:f>IF(AND(E197&lt;Settings!$B$13,F197&gt;Settings!$B$13),Settings!$B$14,0)</x:f>
        <x:v>0</x:v>
      </x:c>
      <x:c r="I197" s="32" t="str">
        <x:f>IF(A197="","",G197+H197)</x:f>
      </x:c>
      <x:c r="J197" s="22" t="str">
        <x:f>IF(A197="","",((F197-E197)*24)-(I197/60))</x:f>
      </x:c>
      <x:c r="K197" s="22" t="str">
        <x:f>IF(A197="","",MIN(J197,8))</x:f>
      </x:c>
      <x:c r="L197" s="22" t="str">
        <x:f>IF(A197="","",MAX(J197-8,0))</x:f>
      </x:c>
      <x:c r="M197" s="20" t="str">
        <x:f>IF(A197="","",K197*Settings!$B$5)</x:f>
      </x:c>
      <x:c r="N197" s="20" t="str">
        <x:f>IF(A197="","",L197*Settings!$B$6)</x:f>
      </x:c>
      <x:c r="O197" s="22"/>
      <x:c r="P197" s="22"/>
      <x:c r="Q197" s="22" t="str">
        <x:f>IF(A197="","",MAX(O197-Settings!$B$7,0))</x:f>
      </x:c>
      <x:c r="R197" s="20" t="str">
        <x:f>IF(A197="","",Q197*Settings!$B$8)</x:f>
      </x:c>
      <x:c r="S197" s="20" t="str">
        <x:f>IF(A197="","",M197+N197)</x:f>
      </x:c>
      <x:c r="T197" s="20" t="str">
        <x:f>IF(A197="","",S197+R197)</x:f>
      </x:c>
    </x:row>
    <x:row r="198">
      <x:c r="A198" s="26"/>
      <x:c r="B198" s="26" t="str">
        <x:f>IF(A198="","",A198-MOD(WEEKDAY(A198,2)-5,7))</x:f>
      </x:c>
      <x:c r="C198" s="26" t="str">
        <x:f>IF(B198="","",B198+7)</x:f>
      </x:c>
      <x:c r="D198" t="str">
        <x:f>IF(A198="","",TEXT(A198,"dddd"))</x:f>
      </x:c>
      <x:c r="E198" s="24"/>
      <x:c r="F198" s="24"/>
      <x:c r="G198" s="32" t="n">
        <x:f>IF(AND(E198&lt;Settings!$B$11,F198&gt;Settings!$B$11),Settings!$B$12,0)</x:f>
        <x:v>0</x:v>
      </x:c>
      <x:c r="H198" s="32" t="n">
        <x:f>IF(AND(E198&lt;Settings!$B$13,F198&gt;Settings!$B$13),Settings!$B$14,0)</x:f>
        <x:v>0</x:v>
      </x:c>
      <x:c r="I198" s="32" t="str">
        <x:f>IF(A198="","",G198+H198)</x:f>
      </x:c>
      <x:c r="J198" s="22" t="str">
        <x:f>IF(A198="","",((F198-E198)*24)-(I198/60))</x:f>
      </x:c>
      <x:c r="K198" s="22" t="str">
        <x:f>IF(A198="","",MIN(J198,8))</x:f>
      </x:c>
      <x:c r="L198" s="22" t="str">
        <x:f>IF(A198="","",MAX(J198-8,0))</x:f>
      </x:c>
      <x:c r="M198" s="20" t="str">
        <x:f>IF(A198="","",K198*Settings!$B$5)</x:f>
      </x:c>
      <x:c r="N198" s="20" t="str">
        <x:f>IF(A198="","",L198*Settings!$B$6)</x:f>
      </x:c>
      <x:c r="O198" s="22"/>
      <x:c r="P198" s="22"/>
      <x:c r="Q198" s="22" t="str">
        <x:f>IF(A198="","",MAX(O198-Settings!$B$7,0))</x:f>
      </x:c>
      <x:c r="R198" s="20" t="str">
        <x:f>IF(A198="","",Q198*Settings!$B$8)</x:f>
      </x:c>
      <x:c r="S198" s="20" t="str">
        <x:f>IF(A198="","",M198+N198)</x:f>
      </x:c>
      <x:c r="T198" s="20" t="str">
        <x:f>IF(A198="","",S198+R198)</x:f>
      </x:c>
    </x:row>
    <x:row r="199">
      <x:c r="A199" s="26"/>
      <x:c r="B199" s="26" t="str">
        <x:f>IF(A199="","",A199-MOD(WEEKDAY(A199,2)-5,7))</x:f>
      </x:c>
      <x:c r="C199" s="26" t="str">
        <x:f>IF(B199="","",B199+7)</x:f>
      </x:c>
      <x:c r="D199" t="str">
        <x:f>IF(A199="","",TEXT(A199,"dddd"))</x:f>
      </x:c>
      <x:c r="E199" s="24"/>
      <x:c r="F199" s="24"/>
      <x:c r="G199" s="32" t="n">
        <x:f>IF(AND(E199&lt;Settings!$B$11,F199&gt;Settings!$B$11),Settings!$B$12,0)</x:f>
        <x:v>0</x:v>
      </x:c>
      <x:c r="H199" s="32" t="n">
        <x:f>IF(AND(E199&lt;Settings!$B$13,F199&gt;Settings!$B$13),Settings!$B$14,0)</x:f>
        <x:v>0</x:v>
      </x:c>
      <x:c r="I199" s="32" t="str">
        <x:f>IF(A199="","",G199+H199)</x:f>
      </x:c>
      <x:c r="J199" s="22" t="str">
        <x:f>IF(A199="","",((F199-E199)*24)-(I199/60))</x:f>
      </x:c>
      <x:c r="K199" s="22" t="str">
        <x:f>IF(A199="","",MIN(J199,8))</x:f>
      </x:c>
      <x:c r="L199" s="22" t="str">
        <x:f>IF(A199="","",MAX(J199-8,0))</x:f>
      </x:c>
      <x:c r="M199" s="20" t="str">
        <x:f>IF(A199="","",K199*Settings!$B$5)</x:f>
      </x:c>
      <x:c r="N199" s="20" t="str">
        <x:f>IF(A199="","",L199*Settings!$B$6)</x:f>
      </x:c>
      <x:c r="O199" s="22"/>
      <x:c r="P199" s="22"/>
      <x:c r="Q199" s="22" t="str">
        <x:f>IF(A199="","",MAX(O199-Settings!$B$7,0))</x:f>
      </x:c>
      <x:c r="R199" s="20" t="str">
        <x:f>IF(A199="","",Q199*Settings!$B$8)</x:f>
      </x:c>
      <x:c r="S199" s="20" t="str">
        <x:f>IF(A199="","",M199+N199)</x:f>
      </x:c>
      <x:c r="T199" s="20" t="str">
        <x:f>IF(A199="","",S199+R199)</x:f>
      </x:c>
    </x:row>
    <x:row r="200">
      <x:c r="A200" s="26"/>
      <x:c r="B200" s="26" t="str">
        <x:f>IF(A200="","",A200-MOD(WEEKDAY(A200,2)-5,7))</x:f>
      </x:c>
      <x:c r="C200" s="26" t="str">
        <x:f>IF(B200="","",B200+7)</x:f>
      </x:c>
      <x:c r="D200" t="str">
        <x:f>IF(A200="","",TEXT(A200,"dddd"))</x:f>
      </x:c>
      <x:c r="E200" s="24"/>
      <x:c r="F200" s="24"/>
      <x:c r="G200" s="32" t="n">
        <x:f>IF(AND(E200&lt;Settings!$B$11,F200&gt;Settings!$B$11),Settings!$B$12,0)</x:f>
        <x:v>0</x:v>
      </x:c>
      <x:c r="H200" s="32" t="n">
        <x:f>IF(AND(E200&lt;Settings!$B$13,F200&gt;Settings!$B$13),Settings!$B$14,0)</x:f>
        <x:v>0</x:v>
      </x:c>
      <x:c r="I200" s="32" t="str">
        <x:f>IF(A200="","",G200+H200)</x:f>
      </x:c>
      <x:c r="J200" s="22" t="str">
        <x:f>IF(A200="","",((F200-E200)*24)-(I200/60))</x:f>
      </x:c>
      <x:c r="K200" s="22" t="str">
        <x:f>IF(A200="","",MIN(J200,8))</x:f>
      </x:c>
      <x:c r="L200" s="22" t="str">
        <x:f>IF(A200="","",MAX(J200-8,0))</x:f>
      </x:c>
      <x:c r="M200" s="20" t="str">
        <x:f>IF(A200="","",K200*Settings!$B$5)</x:f>
      </x:c>
      <x:c r="N200" s="20" t="str">
        <x:f>IF(A200="","",L200*Settings!$B$6)</x:f>
      </x:c>
      <x:c r="O200" s="22"/>
      <x:c r="P200" s="22"/>
      <x:c r="Q200" s="22" t="str">
        <x:f>IF(A200="","",MAX(O200-Settings!$B$7,0))</x:f>
      </x:c>
      <x:c r="R200" s="20" t="str">
        <x:f>IF(A200="","",Q200*Settings!$B$8)</x:f>
      </x:c>
      <x:c r="S200" s="20" t="str">
        <x:f>IF(A200="","",M200+N200)</x:f>
      </x:c>
      <x:c r="T200" s="20" t="str">
        <x:f>IF(A200="","",S200+R200)</x:f>
      </x:c>
    </x:row>
    <x:row r="201">
      <x:c r="A201" s="26"/>
      <x:c r="B201" s="26" t="str">
        <x:f>IF(A201="","",A201-MOD(WEEKDAY(A201,2)-5,7))</x:f>
      </x:c>
      <x:c r="C201" s="26" t="str">
        <x:f>IF(B201="","",B201+7)</x:f>
      </x:c>
      <x:c r="D201" t="str">
        <x:f>IF(A201="","",TEXT(A201,"dddd"))</x:f>
      </x:c>
      <x:c r="E201" s="24"/>
      <x:c r="F201" s="24"/>
      <x:c r="G201" s="32" t="n">
        <x:f>IF(AND(E201&lt;Settings!$B$11,F201&gt;Settings!$B$11),Settings!$B$12,0)</x:f>
        <x:v>0</x:v>
      </x:c>
      <x:c r="H201" s="32" t="n">
        <x:f>IF(AND(E201&lt;Settings!$B$13,F201&gt;Settings!$B$13),Settings!$B$14,0)</x:f>
        <x:v>0</x:v>
      </x:c>
      <x:c r="I201" s="32" t="str">
        <x:f>IF(A201="","",G201+H201)</x:f>
      </x:c>
      <x:c r="J201" s="22" t="str">
        <x:f>IF(A201="","",((F201-E201)*24)-(I201/60))</x:f>
      </x:c>
      <x:c r="K201" s="22" t="str">
        <x:f>IF(A201="","",MIN(J201,8))</x:f>
      </x:c>
      <x:c r="L201" s="22" t="str">
        <x:f>IF(A201="","",MAX(J201-8,0))</x:f>
      </x:c>
      <x:c r="M201" s="20" t="str">
        <x:f>IF(A201="","",K201*Settings!$B$5)</x:f>
      </x:c>
      <x:c r="N201" s="20" t="str">
        <x:f>IF(A201="","",L201*Settings!$B$6)</x:f>
      </x:c>
      <x:c r="O201" s="22"/>
      <x:c r="P201" s="22"/>
      <x:c r="Q201" s="22" t="str">
        <x:f>IF(A201="","",MAX(O201-Settings!$B$7,0))</x:f>
      </x:c>
      <x:c r="R201" s="20" t="str">
        <x:f>IF(A201="","",Q201*Settings!$B$8)</x:f>
      </x:c>
      <x:c r="S201" s="20" t="str">
        <x:f>IF(A201="","",M201+N201)</x:f>
      </x:c>
      <x:c r="T201" s="20" t="str">
        <x:f>IF(A201="","",S201+R201)</x:f>
      </x:c>
    </x:row>
    <x:row r="202">
      <x:c r="A202" s="26"/>
      <x:c r="B202" s="26" t="str">
        <x:f>IF(A202="","",A202-MOD(WEEKDAY(A202,2)-5,7))</x:f>
      </x:c>
      <x:c r="C202" s="26" t="str">
        <x:f>IF(B202="","",B202+7)</x:f>
      </x:c>
      <x:c r="D202" t="str">
        <x:f>IF(A202="","",TEXT(A202,"dddd"))</x:f>
      </x:c>
      <x:c r="E202" s="24"/>
      <x:c r="F202" s="24"/>
      <x:c r="G202" s="32" t="n">
        <x:f>IF(AND(E202&lt;Settings!$B$11,F202&gt;Settings!$B$11),Settings!$B$12,0)</x:f>
        <x:v>0</x:v>
      </x:c>
      <x:c r="H202" s="32" t="n">
        <x:f>IF(AND(E202&lt;Settings!$B$13,F202&gt;Settings!$B$13),Settings!$B$14,0)</x:f>
        <x:v>0</x:v>
      </x:c>
      <x:c r="I202" s="32" t="str">
        <x:f>IF(A202="","",G202+H202)</x:f>
      </x:c>
      <x:c r="J202" s="22" t="str">
        <x:f>IF(A202="","",((F202-E202)*24)-(I202/60))</x:f>
      </x:c>
      <x:c r="K202" s="22" t="str">
        <x:f>IF(A202="","",MIN(J202,8))</x:f>
      </x:c>
      <x:c r="L202" s="22" t="str">
        <x:f>IF(A202="","",MAX(J202-8,0))</x:f>
      </x:c>
      <x:c r="M202" s="20" t="str">
        <x:f>IF(A202="","",K202*Settings!$B$5)</x:f>
      </x:c>
      <x:c r="N202" s="20" t="str">
        <x:f>IF(A202="","",L202*Settings!$B$6)</x:f>
      </x:c>
      <x:c r="O202" s="22"/>
      <x:c r="P202" s="22"/>
      <x:c r="Q202" s="22" t="str">
        <x:f>IF(A202="","",MAX(O202-Settings!$B$7,0))</x:f>
      </x:c>
      <x:c r="R202" s="20" t="str">
        <x:f>IF(A202="","",Q202*Settings!$B$8)</x:f>
      </x:c>
      <x:c r="S202" s="20" t="str">
        <x:f>IF(A202="","",M202+N202)</x:f>
      </x:c>
      <x:c r="T202" s="20" t="str">
        <x:f>IF(A202="","",S202+R202)</x:f>
      </x:c>
    </x:row>
    <x:row r="203">
      <x:c r="A203" s="26"/>
      <x:c r="B203" s="26" t="str">
        <x:f>IF(A203="","",A203-MOD(WEEKDAY(A203,2)-5,7))</x:f>
      </x:c>
      <x:c r="C203" s="26" t="str">
        <x:f>IF(B203="","",B203+7)</x:f>
      </x:c>
      <x:c r="D203" t="str">
        <x:f>IF(A203="","",TEXT(A203,"dddd"))</x:f>
      </x:c>
      <x:c r="E203" s="24"/>
      <x:c r="F203" s="24"/>
      <x:c r="G203" s="32" t="n">
        <x:f>IF(AND(E203&lt;Settings!$B$11,F203&gt;Settings!$B$11),Settings!$B$12,0)</x:f>
        <x:v>0</x:v>
      </x:c>
      <x:c r="H203" s="32" t="n">
        <x:f>IF(AND(E203&lt;Settings!$B$13,F203&gt;Settings!$B$13),Settings!$B$14,0)</x:f>
        <x:v>0</x:v>
      </x:c>
      <x:c r="I203" s="32" t="str">
        <x:f>IF(A203="","",G203+H203)</x:f>
      </x:c>
      <x:c r="J203" s="22" t="str">
        <x:f>IF(A203="","",((F203-E203)*24)-(I203/60))</x:f>
      </x:c>
      <x:c r="K203" s="22" t="str">
        <x:f>IF(A203="","",MIN(J203,8))</x:f>
      </x:c>
      <x:c r="L203" s="22" t="str">
        <x:f>IF(A203="","",MAX(J203-8,0))</x:f>
      </x:c>
      <x:c r="M203" s="20" t="str">
        <x:f>IF(A203="","",K203*Settings!$B$5)</x:f>
      </x:c>
      <x:c r="N203" s="20" t="str">
        <x:f>IF(A203="","",L203*Settings!$B$6)</x:f>
      </x:c>
      <x:c r="O203" s="22"/>
      <x:c r="P203" s="22"/>
      <x:c r="Q203" s="22" t="str">
        <x:f>IF(A203="","",MAX(O203-Settings!$B$7,0))</x:f>
      </x:c>
      <x:c r="R203" s="20" t="str">
        <x:f>IF(A203="","",Q203*Settings!$B$8)</x:f>
      </x:c>
      <x:c r="S203" s="20" t="str">
        <x:f>IF(A203="","",M203+N203)</x:f>
      </x:c>
      <x:c r="T203" s="20" t="str">
        <x:f>IF(A203="","",S203+R203)</x:f>
      </x:c>
    </x:row>
    <x:row r="204">
      <x:c r="A204" s="26"/>
      <x:c r="B204" s="26" t="str">
        <x:f>IF(A204="","",A204-MOD(WEEKDAY(A204,2)-5,7))</x:f>
      </x:c>
      <x:c r="C204" s="26" t="str">
        <x:f>IF(B204="","",B204+7)</x:f>
      </x:c>
      <x:c r="D204" t="str">
        <x:f>IF(A204="","",TEXT(A204,"dddd"))</x:f>
      </x:c>
      <x:c r="E204" s="24"/>
      <x:c r="F204" s="24"/>
      <x:c r="G204" s="32" t="n">
        <x:f>IF(AND(E204&lt;Settings!$B$11,F204&gt;Settings!$B$11),Settings!$B$12,0)</x:f>
        <x:v>0</x:v>
      </x:c>
      <x:c r="H204" s="32" t="n">
        <x:f>IF(AND(E204&lt;Settings!$B$13,F204&gt;Settings!$B$13),Settings!$B$14,0)</x:f>
        <x:v>0</x:v>
      </x:c>
      <x:c r="I204" s="32" t="str">
        <x:f>IF(A204="","",G204+H204)</x:f>
      </x:c>
      <x:c r="J204" s="22" t="str">
        <x:f>IF(A204="","",((F204-E204)*24)-(I204/60))</x:f>
      </x:c>
      <x:c r="K204" s="22" t="str">
        <x:f>IF(A204="","",MIN(J204,8))</x:f>
      </x:c>
      <x:c r="L204" s="22" t="str">
        <x:f>IF(A204="","",MAX(J204-8,0))</x:f>
      </x:c>
      <x:c r="M204" s="20" t="str">
        <x:f>IF(A204="","",K204*Settings!$B$5)</x:f>
      </x:c>
      <x:c r="N204" s="20" t="str">
        <x:f>IF(A204="","",L204*Settings!$B$6)</x:f>
      </x:c>
      <x:c r="O204" s="22"/>
      <x:c r="P204" s="22"/>
      <x:c r="Q204" s="22" t="str">
        <x:f>IF(A204="","",MAX(O204-Settings!$B$7,0))</x:f>
      </x:c>
      <x:c r="R204" s="20" t="str">
        <x:f>IF(A204="","",Q204*Settings!$B$8)</x:f>
      </x:c>
      <x:c r="S204" s="20" t="str">
        <x:f>IF(A204="","",M204+N204)</x:f>
      </x:c>
      <x:c r="T204" s="20" t="str">
        <x:f>IF(A204="","",S204+R204)</x:f>
      </x:c>
    </x:row>
    <x:row r="205">
      <x:c r="A205" s="26"/>
      <x:c r="B205" s="26" t="str">
        <x:f>IF(A205="","",A205-MOD(WEEKDAY(A205,2)-5,7))</x:f>
      </x:c>
      <x:c r="C205" s="26" t="str">
        <x:f>IF(B205="","",B205+7)</x:f>
      </x:c>
      <x:c r="D205" t="str">
        <x:f>IF(A205="","",TEXT(A205,"dddd"))</x:f>
      </x:c>
      <x:c r="E205" s="24"/>
      <x:c r="F205" s="24"/>
      <x:c r="G205" s="32" t="n">
        <x:f>IF(AND(E205&lt;Settings!$B$11,F205&gt;Settings!$B$11),Settings!$B$12,0)</x:f>
        <x:v>0</x:v>
      </x:c>
      <x:c r="H205" s="32" t="n">
        <x:f>IF(AND(E205&lt;Settings!$B$13,F205&gt;Settings!$B$13),Settings!$B$14,0)</x:f>
        <x:v>0</x:v>
      </x:c>
      <x:c r="I205" s="32" t="str">
        <x:f>IF(A205="","",G205+H205)</x:f>
      </x:c>
      <x:c r="J205" s="22" t="str">
        <x:f>IF(A205="","",((F205-E205)*24)-(I205/60))</x:f>
      </x:c>
      <x:c r="K205" s="22" t="str">
        <x:f>IF(A205="","",MIN(J205,8))</x:f>
      </x:c>
      <x:c r="L205" s="22" t="str">
        <x:f>IF(A205="","",MAX(J205-8,0))</x:f>
      </x:c>
      <x:c r="M205" s="20" t="str">
        <x:f>IF(A205="","",K205*Settings!$B$5)</x:f>
      </x:c>
      <x:c r="N205" s="20" t="str">
        <x:f>IF(A205="","",L205*Settings!$B$6)</x:f>
      </x:c>
      <x:c r="O205" s="22"/>
      <x:c r="P205" s="22"/>
      <x:c r="Q205" s="22" t="str">
        <x:f>IF(A205="","",MAX(O205-Settings!$B$7,0))</x:f>
      </x:c>
      <x:c r="R205" s="20" t="str">
        <x:f>IF(A205="","",Q205*Settings!$B$8)</x:f>
      </x:c>
      <x:c r="S205" s="20" t="str">
        <x:f>IF(A205="","",M205+N205)</x:f>
      </x:c>
      <x:c r="T205" s="20" t="str">
        <x:f>IF(A205="","",S205+R205)</x:f>
      </x:c>
    </x:row>
    <x:row r="206">
      <x:c r="A206" s="26"/>
      <x:c r="B206" s="26" t="str">
        <x:f>IF(A206="","",A206-MOD(WEEKDAY(A206,2)-5,7))</x:f>
      </x:c>
      <x:c r="C206" s="26" t="str">
        <x:f>IF(B206="","",B206+7)</x:f>
      </x:c>
      <x:c r="D206" t="str">
        <x:f>IF(A206="","",TEXT(A206,"dddd"))</x:f>
      </x:c>
      <x:c r="E206" s="24"/>
      <x:c r="F206" s="24"/>
      <x:c r="G206" s="32" t="n">
        <x:f>IF(AND(E206&lt;Settings!$B$11,F206&gt;Settings!$B$11),Settings!$B$12,0)</x:f>
        <x:v>0</x:v>
      </x:c>
      <x:c r="H206" s="32" t="n">
        <x:f>IF(AND(E206&lt;Settings!$B$13,F206&gt;Settings!$B$13),Settings!$B$14,0)</x:f>
        <x:v>0</x:v>
      </x:c>
      <x:c r="I206" s="32" t="str">
        <x:f>IF(A206="","",G206+H206)</x:f>
      </x:c>
      <x:c r="J206" s="22" t="str">
        <x:f>IF(A206="","",((F206-E206)*24)-(I206/60))</x:f>
      </x:c>
      <x:c r="K206" s="22" t="str">
        <x:f>IF(A206="","",MIN(J206,8))</x:f>
      </x:c>
      <x:c r="L206" s="22" t="str">
        <x:f>IF(A206="","",MAX(J206-8,0))</x:f>
      </x:c>
      <x:c r="M206" s="20" t="str">
        <x:f>IF(A206="","",K206*Settings!$B$5)</x:f>
      </x:c>
      <x:c r="N206" s="20" t="str">
        <x:f>IF(A206="","",L206*Settings!$B$6)</x:f>
      </x:c>
      <x:c r="O206" s="22"/>
      <x:c r="P206" s="22"/>
      <x:c r="Q206" s="22" t="str">
        <x:f>IF(A206="","",MAX(O206-Settings!$B$7,0))</x:f>
      </x:c>
      <x:c r="R206" s="20" t="str">
        <x:f>IF(A206="","",Q206*Settings!$B$8)</x:f>
      </x:c>
      <x:c r="S206" s="20" t="str">
        <x:f>IF(A206="","",M206+N206)</x:f>
      </x:c>
      <x:c r="T206" s="20" t="str">
        <x:f>IF(A206="","",S206+R206)</x:f>
      </x:c>
    </x:row>
    <x:row r="207">
      <x:c r="A207" s="26"/>
      <x:c r="B207" s="26" t="str">
        <x:f>IF(A207="","",A207-MOD(WEEKDAY(A207,2)-5,7))</x:f>
      </x:c>
      <x:c r="C207" s="26" t="str">
        <x:f>IF(B207="","",B207+7)</x:f>
      </x:c>
      <x:c r="D207" t="str">
        <x:f>IF(A207="","",TEXT(A207,"dddd"))</x:f>
      </x:c>
      <x:c r="E207" s="24"/>
      <x:c r="F207" s="24"/>
      <x:c r="G207" s="32" t="n">
        <x:f>IF(AND(E207&lt;Settings!$B$11,F207&gt;Settings!$B$11),Settings!$B$12,0)</x:f>
        <x:v>0</x:v>
      </x:c>
      <x:c r="H207" s="32" t="n">
        <x:f>IF(AND(E207&lt;Settings!$B$13,F207&gt;Settings!$B$13),Settings!$B$14,0)</x:f>
        <x:v>0</x:v>
      </x:c>
      <x:c r="I207" s="32" t="str">
        <x:f>IF(A207="","",G207+H207)</x:f>
      </x:c>
      <x:c r="J207" s="22" t="str">
        <x:f>IF(A207="","",((F207-E207)*24)-(I207/60))</x:f>
      </x:c>
      <x:c r="K207" s="22" t="str">
        <x:f>IF(A207="","",MIN(J207,8))</x:f>
      </x:c>
      <x:c r="L207" s="22" t="str">
        <x:f>IF(A207="","",MAX(J207-8,0))</x:f>
      </x:c>
      <x:c r="M207" s="20" t="str">
        <x:f>IF(A207="","",K207*Settings!$B$5)</x:f>
      </x:c>
      <x:c r="N207" s="20" t="str">
        <x:f>IF(A207="","",L207*Settings!$B$6)</x:f>
      </x:c>
      <x:c r="O207" s="22"/>
      <x:c r="P207" s="22"/>
      <x:c r="Q207" s="22" t="str">
        <x:f>IF(A207="","",MAX(O207-Settings!$B$7,0))</x:f>
      </x:c>
      <x:c r="R207" s="20" t="str">
        <x:f>IF(A207="","",Q207*Settings!$B$8)</x:f>
      </x:c>
      <x:c r="S207" s="20" t="str">
        <x:f>IF(A207="","",M207+N207)</x:f>
      </x:c>
      <x:c r="T207" s="20" t="str">
        <x:f>IF(A207="","",S207+R207)</x:f>
      </x:c>
    </x:row>
    <x:row r="208">
      <x:c r="A208" s="26"/>
      <x:c r="B208" s="26" t="str">
        <x:f>IF(A208="","",A208-MOD(WEEKDAY(A208,2)-5,7))</x:f>
      </x:c>
      <x:c r="C208" s="26" t="str">
        <x:f>IF(B208="","",B208+7)</x:f>
      </x:c>
      <x:c r="D208" t="str">
        <x:f>IF(A208="","",TEXT(A208,"dddd"))</x:f>
      </x:c>
      <x:c r="E208" s="24"/>
      <x:c r="F208" s="24"/>
      <x:c r="G208" s="32" t="n">
        <x:f>IF(AND(E208&lt;Settings!$B$11,F208&gt;Settings!$B$11),Settings!$B$12,0)</x:f>
        <x:v>0</x:v>
      </x:c>
      <x:c r="H208" s="32" t="n">
        <x:f>IF(AND(E208&lt;Settings!$B$13,F208&gt;Settings!$B$13),Settings!$B$14,0)</x:f>
        <x:v>0</x:v>
      </x:c>
      <x:c r="I208" s="32" t="str">
        <x:f>IF(A208="","",G208+H208)</x:f>
      </x:c>
      <x:c r="J208" s="22" t="str">
        <x:f>IF(A208="","",((F208-E208)*24)-(I208/60))</x:f>
      </x:c>
      <x:c r="K208" s="22" t="str">
        <x:f>IF(A208="","",MIN(J208,8))</x:f>
      </x:c>
      <x:c r="L208" s="22" t="str">
        <x:f>IF(A208="","",MAX(J208-8,0))</x:f>
      </x:c>
      <x:c r="M208" s="20" t="str">
        <x:f>IF(A208="","",K208*Settings!$B$5)</x:f>
      </x:c>
      <x:c r="N208" s="20" t="str">
        <x:f>IF(A208="","",L208*Settings!$B$6)</x:f>
      </x:c>
      <x:c r="O208" s="22"/>
      <x:c r="P208" s="22"/>
      <x:c r="Q208" s="22" t="str">
        <x:f>IF(A208="","",MAX(O208-Settings!$B$7,0))</x:f>
      </x:c>
      <x:c r="R208" s="20" t="str">
        <x:f>IF(A208="","",Q208*Settings!$B$8)</x:f>
      </x:c>
      <x:c r="S208" s="20" t="str">
        <x:f>IF(A208="","",M208+N208)</x:f>
      </x:c>
      <x:c r="T208" s="20" t="str">
        <x:f>IF(A208="","",S208+R208)</x:f>
      </x:c>
    </x:row>
    <x:row r="209">
      <x:c r="A209" s="26"/>
      <x:c r="B209" s="26" t="str">
        <x:f>IF(A209="","",A209-MOD(WEEKDAY(A209,2)-5,7))</x:f>
      </x:c>
      <x:c r="C209" s="26" t="str">
        <x:f>IF(B209="","",B209+7)</x:f>
      </x:c>
      <x:c r="D209" t="str">
        <x:f>IF(A209="","",TEXT(A209,"dddd"))</x:f>
      </x:c>
      <x:c r="E209" s="24"/>
      <x:c r="F209" s="24"/>
      <x:c r="G209" s="32" t="n">
        <x:f>IF(AND(E209&lt;Settings!$B$11,F209&gt;Settings!$B$11),Settings!$B$12,0)</x:f>
        <x:v>0</x:v>
      </x:c>
      <x:c r="H209" s="32" t="n">
        <x:f>IF(AND(E209&lt;Settings!$B$13,F209&gt;Settings!$B$13),Settings!$B$14,0)</x:f>
        <x:v>0</x:v>
      </x:c>
      <x:c r="I209" s="32" t="str">
        <x:f>IF(A209="","",G209+H209)</x:f>
      </x:c>
      <x:c r="J209" s="22" t="str">
        <x:f>IF(A209="","",((F209-E209)*24)-(I209/60))</x:f>
      </x:c>
      <x:c r="K209" s="22" t="str">
        <x:f>IF(A209="","",MIN(J209,8))</x:f>
      </x:c>
      <x:c r="L209" s="22" t="str">
        <x:f>IF(A209="","",MAX(J209-8,0))</x:f>
      </x:c>
      <x:c r="M209" s="20" t="str">
        <x:f>IF(A209="","",K209*Settings!$B$5)</x:f>
      </x:c>
      <x:c r="N209" s="20" t="str">
        <x:f>IF(A209="","",L209*Settings!$B$6)</x:f>
      </x:c>
      <x:c r="O209" s="22"/>
      <x:c r="P209" s="22"/>
      <x:c r="Q209" s="22" t="str">
        <x:f>IF(A209="","",MAX(O209-Settings!$B$7,0))</x:f>
      </x:c>
      <x:c r="R209" s="20" t="str">
        <x:f>IF(A209="","",Q209*Settings!$B$8)</x:f>
      </x:c>
      <x:c r="S209" s="20" t="str">
        <x:f>IF(A209="","",M209+N209)</x:f>
      </x:c>
      <x:c r="T209" s="20" t="str">
        <x:f>IF(A209="","",S209+R209)</x:f>
      </x:c>
    </x:row>
    <x:row r="210">
      <x:c r="A210" s="26"/>
      <x:c r="B210" s="26" t="str">
        <x:f>IF(A210="","",A210-MOD(WEEKDAY(A210,2)-5,7))</x:f>
      </x:c>
      <x:c r="C210" s="26" t="str">
        <x:f>IF(B210="","",B210+7)</x:f>
      </x:c>
      <x:c r="D210" t="str">
        <x:f>IF(A210="","",TEXT(A210,"dddd"))</x:f>
      </x:c>
      <x:c r="E210" s="24"/>
      <x:c r="F210" s="24"/>
      <x:c r="G210" s="32" t="n">
        <x:f>IF(AND(E210&lt;Settings!$B$11,F210&gt;Settings!$B$11),Settings!$B$12,0)</x:f>
        <x:v>0</x:v>
      </x:c>
      <x:c r="H210" s="32" t="n">
        <x:f>IF(AND(E210&lt;Settings!$B$13,F210&gt;Settings!$B$13),Settings!$B$14,0)</x:f>
        <x:v>0</x:v>
      </x:c>
      <x:c r="I210" s="32" t="str">
        <x:f>IF(A210="","",G210+H210)</x:f>
      </x:c>
      <x:c r="J210" s="22" t="str">
        <x:f>IF(A210="","",((F210-E210)*24)-(I210/60))</x:f>
      </x:c>
      <x:c r="K210" s="22" t="str">
        <x:f>IF(A210="","",MIN(J210,8))</x:f>
      </x:c>
      <x:c r="L210" s="22" t="str">
        <x:f>IF(A210="","",MAX(J210-8,0))</x:f>
      </x:c>
      <x:c r="M210" s="20" t="str">
        <x:f>IF(A210="","",K210*Settings!$B$5)</x:f>
      </x:c>
      <x:c r="N210" s="20" t="str">
        <x:f>IF(A210="","",L210*Settings!$B$6)</x:f>
      </x:c>
      <x:c r="O210" s="22"/>
      <x:c r="P210" s="22"/>
      <x:c r="Q210" s="22" t="str">
        <x:f>IF(A210="","",MAX(O210-Settings!$B$7,0))</x:f>
      </x:c>
      <x:c r="R210" s="20" t="str">
        <x:f>IF(A210="","",Q210*Settings!$B$8)</x:f>
      </x:c>
      <x:c r="S210" s="20" t="str">
        <x:f>IF(A210="","",M210+N210)</x:f>
      </x:c>
      <x:c r="T210" s="20" t="str">
        <x:f>IF(A210="","",S210+R210)</x:f>
      </x:c>
    </x:row>
    <x:row r="211">
      <x:c r="A211" s="26"/>
      <x:c r="B211" s="26" t="str">
        <x:f>IF(A211="","",A211-MOD(WEEKDAY(A211,2)-5,7))</x:f>
      </x:c>
      <x:c r="C211" s="26" t="str">
        <x:f>IF(B211="","",B211+7)</x:f>
      </x:c>
      <x:c r="D211" t="str">
        <x:f>IF(A211="","",TEXT(A211,"dddd"))</x:f>
      </x:c>
      <x:c r="E211" s="24"/>
      <x:c r="F211" s="24"/>
      <x:c r="G211" s="32" t="n">
        <x:f>IF(AND(E211&lt;Settings!$B$11,F211&gt;Settings!$B$11),Settings!$B$12,0)</x:f>
        <x:v>0</x:v>
      </x:c>
      <x:c r="H211" s="32" t="n">
        <x:f>IF(AND(E211&lt;Settings!$B$13,F211&gt;Settings!$B$13),Settings!$B$14,0)</x:f>
        <x:v>0</x:v>
      </x:c>
      <x:c r="I211" s="32" t="str">
        <x:f>IF(A211="","",G211+H211)</x:f>
      </x:c>
      <x:c r="J211" s="22" t="str">
        <x:f>IF(A211="","",((F211-E211)*24)-(I211/60))</x:f>
      </x:c>
      <x:c r="K211" s="22" t="str">
        <x:f>IF(A211="","",MIN(J211,8))</x:f>
      </x:c>
      <x:c r="L211" s="22" t="str">
        <x:f>IF(A211="","",MAX(J211-8,0))</x:f>
      </x:c>
      <x:c r="M211" s="20" t="str">
        <x:f>IF(A211="","",K211*Settings!$B$5)</x:f>
      </x:c>
      <x:c r="N211" s="20" t="str">
        <x:f>IF(A211="","",L211*Settings!$B$6)</x:f>
      </x:c>
      <x:c r="O211" s="22"/>
      <x:c r="P211" s="22"/>
      <x:c r="Q211" s="22" t="str">
        <x:f>IF(A211="","",MAX(O211-Settings!$B$7,0))</x:f>
      </x:c>
      <x:c r="R211" s="20" t="str">
        <x:f>IF(A211="","",Q211*Settings!$B$8)</x:f>
      </x:c>
      <x:c r="S211" s="20" t="str">
        <x:f>IF(A211="","",M211+N211)</x:f>
      </x:c>
      <x:c r="T211" s="20" t="str">
        <x:f>IF(A211="","",S211+R211)</x:f>
      </x:c>
    </x:row>
    <x:row r="212">
      <x:c r="A212" s="26"/>
      <x:c r="B212" s="26" t="str">
        <x:f>IF(A212="","",A212-MOD(WEEKDAY(A212,2)-5,7))</x:f>
      </x:c>
      <x:c r="C212" s="26" t="str">
        <x:f>IF(B212="","",B212+7)</x:f>
      </x:c>
      <x:c r="D212" t="str">
        <x:f>IF(A212="","",TEXT(A212,"dddd"))</x:f>
      </x:c>
      <x:c r="E212" s="24"/>
      <x:c r="F212" s="24"/>
      <x:c r="G212" s="32" t="n">
        <x:f>IF(AND(E212&lt;Settings!$B$11,F212&gt;Settings!$B$11),Settings!$B$12,0)</x:f>
        <x:v>0</x:v>
      </x:c>
      <x:c r="H212" s="32" t="n">
        <x:f>IF(AND(E212&lt;Settings!$B$13,F212&gt;Settings!$B$13),Settings!$B$14,0)</x:f>
        <x:v>0</x:v>
      </x:c>
      <x:c r="I212" s="32" t="str">
        <x:f>IF(A212="","",G212+H212)</x:f>
      </x:c>
      <x:c r="J212" s="22" t="str">
        <x:f>IF(A212="","",((F212-E212)*24)-(I212/60))</x:f>
      </x:c>
      <x:c r="K212" s="22" t="str">
        <x:f>IF(A212="","",MIN(J212,8))</x:f>
      </x:c>
      <x:c r="L212" s="22" t="str">
        <x:f>IF(A212="","",MAX(J212-8,0))</x:f>
      </x:c>
      <x:c r="M212" s="20" t="str">
        <x:f>IF(A212="","",K212*Settings!$B$5)</x:f>
      </x:c>
      <x:c r="N212" s="20" t="str">
        <x:f>IF(A212="","",L212*Settings!$B$6)</x:f>
      </x:c>
      <x:c r="O212" s="22"/>
      <x:c r="P212" s="22"/>
      <x:c r="Q212" s="22" t="str">
        <x:f>IF(A212="","",MAX(O212-Settings!$B$7,0))</x:f>
      </x:c>
      <x:c r="R212" s="20" t="str">
        <x:f>IF(A212="","",Q212*Settings!$B$8)</x:f>
      </x:c>
      <x:c r="S212" s="20" t="str">
        <x:f>IF(A212="","",M212+N212)</x:f>
      </x:c>
      <x:c r="T212" s="20" t="str">
        <x:f>IF(A212="","",S212+R212)</x:f>
      </x:c>
    </x:row>
    <x:row r="213">
      <x:c r="A213" s="26"/>
      <x:c r="B213" s="26" t="str">
        <x:f>IF(A213="","",A213-MOD(WEEKDAY(A213,2)-5,7))</x:f>
      </x:c>
      <x:c r="C213" s="26" t="str">
        <x:f>IF(B213="","",B213+7)</x:f>
      </x:c>
      <x:c r="D213" t="str">
        <x:f>IF(A213="","",TEXT(A213,"dddd"))</x:f>
      </x:c>
      <x:c r="E213" s="24"/>
      <x:c r="F213" s="24"/>
      <x:c r="G213" s="32" t="n">
        <x:f>IF(AND(E213&lt;Settings!$B$11,F213&gt;Settings!$B$11),Settings!$B$12,0)</x:f>
        <x:v>0</x:v>
      </x:c>
      <x:c r="H213" s="32" t="n">
        <x:f>IF(AND(E213&lt;Settings!$B$13,F213&gt;Settings!$B$13),Settings!$B$14,0)</x:f>
        <x:v>0</x:v>
      </x:c>
      <x:c r="I213" s="32" t="str">
        <x:f>IF(A213="","",G213+H213)</x:f>
      </x:c>
      <x:c r="J213" s="22" t="str">
        <x:f>IF(A213="","",((F213-E213)*24)-(I213/60))</x:f>
      </x:c>
      <x:c r="K213" s="22" t="str">
        <x:f>IF(A213="","",MIN(J213,8))</x:f>
      </x:c>
      <x:c r="L213" s="22" t="str">
        <x:f>IF(A213="","",MAX(J213-8,0))</x:f>
      </x:c>
      <x:c r="M213" s="20" t="str">
        <x:f>IF(A213="","",K213*Settings!$B$5)</x:f>
      </x:c>
      <x:c r="N213" s="20" t="str">
        <x:f>IF(A213="","",L213*Settings!$B$6)</x:f>
      </x:c>
      <x:c r="O213" s="22"/>
      <x:c r="P213" s="22"/>
      <x:c r="Q213" s="22" t="str">
        <x:f>IF(A213="","",MAX(O213-Settings!$B$7,0))</x:f>
      </x:c>
      <x:c r="R213" s="20" t="str">
        <x:f>IF(A213="","",Q213*Settings!$B$8)</x:f>
      </x:c>
      <x:c r="S213" s="20" t="str">
        <x:f>IF(A213="","",M213+N213)</x:f>
      </x:c>
      <x:c r="T213" s="20" t="str">
        <x:f>IF(A213="","",S213+R213)</x:f>
      </x:c>
    </x:row>
    <x:row r="214">
      <x:c r="A214" s="26"/>
      <x:c r="B214" s="26" t="str">
        <x:f>IF(A214="","",A214-MOD(WEEKDAY(A214,2)-5,7))</x:f>
      </x:c>
      <x:c r="C214" s="26" t="str">
        <x:f>IF(B214="","",B214+7)</x:f>
      </x:c>
      <x:c r="D214" t="str">
        <x:f>IF(A214="","",TEXT(A214,"dddd"))</x:f>
      </x:c>
      <x:c r="E214" s="24"/>
      <x:c r="F214" s="24"/>
      <x:c r="G214" s="32" t="n">
        <x:f>IF(AND(E214&lt;Settings!$B$11,F214&gt;Settings!$B$11),Settings!$B$12,0)</x:f>
        <x:v>0</x:v>
      </x:c>
      <x:c r="H214" s="32" t="n">
        <x:f>IF(AND(E214&lt;Settings!$B$13,F214&gt;Settings!$B$13),Settings!$B$14,0)</x:f>
        <x:v>0</x:v>
      </x:c>
      <x:c r="I214" s="32" t="str">
        <x:f>IF(A214="","",G214+H214)</x:f>
      </x:c>
      <x:c r="J214" s="22" t="str">
        <x:f>IF(A214="","",((F214-E214)*24)-(I214/60))</x:f>
      </x:c>
      <x:c r="K214" s="22" t="str">
        <x:f>IF(A214="","",MIN(J214,8))</x:f>
      </x:c>
      <x:c r="L214" s="22" t="str">
        <x:f>IF(A214="","",MAX(J214-8,0))</x:f>
      </x:c>
      <x:c r="M214" s="20" t="str">
        <x:f>IF(A214="","",K214*Settings!$B$5)</x:f>
      </x:c>
      <x:c r="N214" s="20" t="str">
        <x:f>IF(A214="","",L214*Settings!$B$6)</x:f>
      </x:c>
      <x:c r="O214" s="22"/>
      <x:c r="P214" s="22"/>
      <x:c r="Q214" s="22" t="str">
        <x:f>IF(A214="","",MAX(O214-Settings!$B$7,0))</x:f>
      </x:c>
      <x:c r="R214" s="20" t="str">
        <x:f>IF(A214="","",Q214*Settings!$B$8)</x:f>
      </x:c>
      <x:c r="S214" s="20" t="str">
        <x:f>IF(A214="","",M214+N214)</x:f>
      </x:c>
      <x:c r="T214" s="20" t="str">
        <x:f>IF(A214="","",S214+R214)</x:f>
      </x:c>
    </x:row>
    <x:row r="215">
      <x:c r="A215" s="26"/>
      <x:c r="B215" s="26" t="str">
        <x:f>IF(A215="","",A215-MOD(WEEKDAY(A215,2)-5,7))</x:f>
      </x:c>
      <x:c r="C215" s="26" t="str">
        <x:f>IF(B215="","",B215+7)</x:f>
      </x:c>
      <x:c r="D215" t="str">
        <x:f>IF(A215="","",TEXT(A215,"dddd"))</x:f>
      </x:c>
      <x:c r="E215" s="24"/>
      <x:c r="F215" s="24"/>
      <x:c r="G215" s="32" t="n">
        <x:f>IF(AND(E215&lt;Settings!$B$11,F215&gt;Settings!$B$11),Settings!$B$12,0)</x:f>
        <x:v>0</x:v>
      </x:c>
      <x:c r="H215" s="32" t="n">
        <x:f>IF(AND(E215&lt;Settings!$B$13,F215&gt;Settings!$B$13),Settings!$B$14,0)</x:f>
        <x:v>0</x:v>
      </x:c>
      <x:c r="I215" s="32" t="str">
        <x:f>IF(A215="","",G215+H215)</x:f>
      </x:c>
      <x:c r="J215" s="22" t="str">
        <x:f>IF(A215="","",((F215-E215)*24)-(I215/60))</x:f>
      </x:c>
      <x:c r="K215" s="22" t="str">
        <x:f>IF(A215="","",MIN(J215,8))</x:f>
      </x:c>
      <x:c r="L215" s="22" t="str">
        <x:f>IF(A215="","",MAX(J215-8,0))</x:f>
      </x:c>
      <x:c r="M215" s="20" t="str">
        <x:f>IF(A215="","",K215*Settings!$B$5)</x:f>
      </x:c>
      <x:c r="N215" s="20" t="str">
        <x:f>IF(A215="","",L215*Settings!$B$6)</x:f>
      </x:c>
      <x:c r="O215" s="22"/>
      <x:c r="P215" s="22"/>
      <x:c r="Q215" s="22" t="str">
        <x:f>IF(A215="","",MAX(O215-Settings!$B$7,0))</x:f>
      </x:c>
      <x:c r="R215" s="20" t="str">
        <x:f>IF(A215="","",Q215*Settings!$B$8)</x:f>
      </x:c>
      <x:c r="S215" s="20" t="str">
        <x:f>IF(A215="","",M215+N215)</x:f>
      </x:c>
      <x:c r="T215" s="20" t="str">
        <x:f>IF(A215="","",S215+R215)</x:f>
      </x:c>
    </x:row>
    <x:row r="216">
      <x:c r="A216" s="26"/>
      <x:c r="B216" s="26" t="str">
        <x:f>IF(A216="","",A216-MOD(WEEKDAY(A216,2)-5,7))</x:f>
      </x:c>
      <x:c r="C216" s="26" t="str">
        <x:f>IF(B216="","",B216+7)</x:f>
      </x:c>
      <x:c r="D216" t="str">
        <x:f>IF(A216="","",TEXT(A216,"dddd"))</x:f>
      </x:c>
      <x:c r="E216" s="24"/>
      <x:c r="F216" s="24"/>
      <x:c r="G216" s="32" t="n">
        <x:f>IF(AND(E216&lt;Settings!$B$11,F216&gt;Settings!$B$11),Settings!$B$12,0)</x:f>
        <x:v>0</x:v>
      </x:c>
      <x:c r="H216" s="32" t="n">
        <x:f>IF(AND(E216&lt;Settings!$B$13,F216&gt;Settings!$B$13),Settings!$B$14,0)</x:f>
        <x:v>0</x:v>
      </x:c>
      <x:c r="I216" s="32" t="str">
        <x:f>IF(A216="","",G216+H216)</x:f>
      </x:c>
      <x:c r="J216" s="22" t="str">
        <x:f>IF(A216="","",((F216-E216)*24)-(I216/60))</x:f>
      </x:c>
      <x:c r="K216" s="22" t="str">
        <x:f>IF(A216="","",MIN(J216,8))</x:f>
      </x:c>
      <x:c r="L216" s="22" t="str">
        <x:f>IF(A216="","",MAX(J216-8,0))</x:f>
      </x:c>
      <x:c r="M216" s="20" t="str">
        <x:f>IF(A216="","",K216*Settings!$B$5)</x:f>
      </x:c>
      <x:c r="N216" s="20" t="str">
        <x:f>IF(A216="","",L216*Settings!$B$6)</x:f>
      </x:c>
      <x:c r="O216" s="22"/>
      <x:c r="P216" s="22"/>
      <x:c r="Q216" s="22" t="str">
        <x:f>IF(A216="","",MAX(O216-Settings!$B$7,0))</x:f>
      </x:c>
      <x:c r="R216" s="20" t="str">
        <x:f>IF(A216="","",Q216*Settings!$B$8)</x:f>
      </x:c>
      <x:c r="S216" s="20" t="str">
        <x:f>IF(A216="","",M216+N216)</x:f>
      </x:c>
      <x:c r="T216" s="20" t="str">
        <x:f>IF(A216="","",S216+R216)</x:f>
      </x:c>
    </x:row>
    <x:row r="217">
      <x:c r="A217" s="26"/>
      <x:c r="B217" s="26" t="str">
        <x:f>IF(A217="","",A217-MOD(WEEKDAY(A217,2)-5,7))</x:f>
      </x:c>
      <x:c r="C217" s="26" t="str">
        <x:f>IF(B217="","",B217+7)</x:f>
      </x:c>
      <x:c r="D217" t="str">
        <x:f>IF(A217="","",TEXT(A217,"dddd"))</x:f>
      </x:c>
      <x:c r="E217" s="24"/>
      <x:c r="F217" s="24"/>
      <x:c r="G217" s="32" t="n">
        <x:f>IF(AND(E217&lt;Settings!$B$11,F217&gt;Settings!$B$11),Settings!$B$12,0)</x:f>
        <x:v>0</x:v>
      </x:c>
      <x:c r="H217" s="32" t="n">
        <x:f>IF(AND(E217&lt;Settings!$B$13,F217&gt;Settings!$B$13),Settings!$B$14,0)</x:f>
        <x:v>0</x:v>
      </x:c>
      <x:c r="I217" s="32" t="str">
        <x:f>IF(A217="","",G217+H217)</x:f>
      </x:c>
      <x:c r="J217" s="22" t="str">
        <x:f>IF(A217="","",((F217-E217)*24)-(I217/60))</x:f>
      </x:c>
      <x:c r="K217" s="22" t="str">
        <x:f>IF(A217="","",MIN(J217,8))</x:f>
      </x:c>
      <x:c r="L217" s="22" t="str">
        <x:f>IF(A217="","",MAX(J217-8,0))</x:f>
      </x:c>
      <x:c r="M217" s="20" t="str">
        <x:f>IF(A217="","",K217*Settings!$B$5)</x:f>
      </x:c>
      <x:c r="N217" s="20" t="str">
        <x:f>IF(A217="","",L217*Settings!$B$6)</x:f>
      </x:c>
      <x:c r="O217" s="22"/>
      <x:c r="P217" s="22"/>
      <x:c r="Q217" s="22" t="str">
        <x:f>IF(A217="","",MAX(O217-Settings!$B$7,0))</x:f>
      </x:c>
      <x:c r="R217" s="20" t="str">
        <x:f>IF(A217="","",Q217*Settings!$B$8)</x:f>
      </x:c>
      <x:c r="S217" s="20" t="str">
        <x:f>IF(A217="","",M217+N217)</x:f>
      </x:c>
      <x:c r="T217" s="20" t="str">
        <x:f>IF(A217="","",S217+R217)</x:f>
      </x:c>
    </x:row>
    <x:row r="218">
      <x:c r="A218" s="26"/>
      <x:c r="B218" s="26" t="str">
        <x:f>IF(A218="","",A218-MOD(WEEKDAY(A218,2)-5,7))</x:f>
      </x:c>
      <x:c r="C218" s="26" t="str">
        <x:f>IF(B218="","",B218+7)</x:f>
      </x:c>
      <x:c r="D218" t="str">
        <x:f>IF(A218="","",TEXT(A218,"dddd"))</x:f>
      </x:c>
      <x:c r="E218" s="24"/>
      <x:c r="F218" s="24"/>
      <x:c r="G218" s="32" t="n">
        <x:f>IF(AND(E218&lt;Settings!$B$11,F218&gt;Settings!$B$11),Settings!$B$12,0)</x:f>
        <x:v>0</x:v>
      </x:c>
      <x:c r="H218" s="32" t="n">
        <x:f>IF(AND(E218&lt;Settings!$B$13,F218&gt;Settings!$B$13),Settings!$B$14,0)</x:f>
        <x:v>0</x:v>
      </x:c>
      <x:c r="I218" s="32" t="str">
        <x:f>IF(A218="","",G218+H218)</x:f>
      </x:c>
      <x:c r="J218" s="22" t="str">
        <x:f>IF(A218="","",((F218-E218)*24)-(I218/60))</x:f>
      </x:c>
      <x:c r="K218" s="22" t="str">
        <x:f>IF(A218="","",MIN(J218,8))</x:f>
      </x:c>
      <x:c r="L218" s="22" t="str">
        <x:f>IF(A218="","",MAX(J218-8,0))</x:f>
      </x:c>
      <x:c r="M218" s="20" t="str">
        <x:f>IF(A218="","",K218*Settings!$B$5)</x:f>
      </x:c>
      <x:c r="N218" s="20" t="str">
        <x:f>IF(A218="","",L218*Settings!$B$6)</x:f>
      </x:c>
      <x:c r="O218" s="22"/>
      <x:c r="P218" s="22"/>
      <x:c r="Q218" s="22" t="str">
        <x:f>IF(A218="","",MAX(O218-Settings!$B$7,0))</x:f>
      </x:c>
      <x:c r="R218" s="20" t="str">
        <x:f>IF(A218="","",Q218*Settings!$B$8)</x:f>
      </x:c>
      <x:c r="S218" s="20" t="str">
        <x:f>IF(A218="","",M218+N218)</x:f>
      </x:c>
      <x:c r="T218" s="20" t="str">
        <x:f>IF(A218="","",S218+R218)</x:f>
      </x:c>
    </x:row>
    <x:row r="219">
      <x:c r="A219" s="26"/>
      <x:c r="B219" s="26" t="str">
        <x:f>IF(A219="","",A219-MOD(WEEKDAY(A219,2)-5,7))</x:f>
      </x:c>
      <x:c r="C219" s="26" t="str">
        <x:f>IF(B219="","",B219+7)</x:f>
      </x:c>
      <x:c r="D219" t="str">
        <x:f>IF(A219="","",TEXT(A219,"dddd"))</x:f>
      </x:c>
      <x:c r="E219" s="24"/>
      <x:c r="F219" s="24"/>
      <x:c r="G219" s="32" t="n">
        <x:f>IF(AND(E219&lt;Settings!$B$11,F219&gt;Settings!$B$11),Settings!$B$12,0)</x:f>
        <x:v>0</x:v>
      </x:c>
      <x:c r="H219" s="32" t="n">
        <x:f>IF(AND(E219&lt;Settings!$B$13,F219&gt;Settings!$B$13),Settings!$B$14,0)</x:f>
        <x:v>0</x:v>
      </x:c>
      <x:c r="I219" s="32" t="str">
        <x:f>IF(A219="","",G219+H219)</x:f>
      </x:c>
      <x:c r="J219" s="22" t="str">
        <x:f>IF(A219="","",((F219-E219)*24)-(I219/60))</x:f>
      </x:c>
      <x:c r="K219" s="22" t="str">
        <x:f>IF(A219="","",MIN(J219,8))</x:f>
      </x:c>
      <x:c r="L219" s="22" t="str">
        <x:f>IF(A219="","",MAX(J219-8,0))</x:f>
      </x:c>
      <x:c r="M219" s="20" t="str">
        <x:f>IF(A219="","",K219*Settings!$B$5)</x:f>
      </x:c>
      <x:c r="N219" s="20" t="str">
        <x:f>IF(A219="","",L219*Settings!$B$6)</x:f>
      </x:c>
      <x:c r="O219" s="22"/>
      <x:c r="P219" s="22"/>
      <x:c r="Q219" s="22" t="str">
        <x:f>IF(A219="","",MAX(O219-Settings!$B$7,0))</x:f>
      </x:c>
      <x:c r="R219" s="20" t="str">
        <x:f>IF(A219="","",Q219*Settings!$B$8)</x:f>
      </x:c>
      <x:c r="S219" s="20" t="str">
        <x:f>IF(A219="","",M219+N219)</x:f>
      </x:c>
      <x:c r="T219" s="20" t="str">
        <x:f>IF(A219="","",S219+R219)</x:f>
      </x:c>
    </x:row>
    <x:row r="220">
      <x:c r="A220" s="26"/>
      <x:c r="B220" s="26" t="str">
        <x:f>IF(A220="","",A220-MOD(WEEKDAY(A220,2)-5,7))</x:f>
      </x:c>
      <x:c r="C220" s="26" t="str">
        <x:f>IF(B220="","",B220+7)</x:f>
      </x:c>
      <x:c r="D220" t="str">
        <x:f>IF(A220="","",TEXT(A220,"dddd"))</x:f>
      </x:c>
      <x:c r="E220" s="24"/>
      <x:c r="F220" s="24"/>
      <x:c r="G220" s="32" t="n">
        <x:f>IF(AND(E220&lt;Settings!$B$11,F220&gt;Settings!$B$11),Settings!$B$12,0)</x:f>
        <x:v>0</x:v>
      </x:c>
      <x:c r="H220" s="32" t="n">
        <x:f>IF(AND(E220&lt;Settings!$B$13,F220&gt;Settings!$B$13),Settings!$B$14,0)</x:f>
        <x:v>0</x:v>
      </x:c>
      <x:c r="I220" s="32" t="str">
        <x:f>IF(A220="","",G220+H220)</x:f>
      </x:c>
      <x:c r="J220" s="22" t="str">
        <x:f>IF(A220="","",((F220-E220)*24)-(I220/60))</x:f>
      </x:c>
      <x:c r="K220" s="22" t="str">
        <x:f>IF(A220="","",MIN(J220,8))</x:f>
      </x:c>
      <x:c r="L220" s="22" t="str">
        <x:f>IF(A220="","",MAX(J220-8,0))</x:f>
      </x:c>
      <x:c r="M220" s="20" t="str">
        <x:f>IF(A220="","",K220*Settings!$B$5)</x:f>
      </x:c>
      <x:c r="N220" s="20" t="str">
        <x:f>IF(A220="","",L220*Settings!$B$6)</x:f>
      </x:c>
      <x:c r="O220" s="22"/>
      <x:c r="P220" s="22"/>
      <x:c r="Q220" s="22" t="str">
        <x:f>IF(A220="","",MAX(O220-Settings!$B$7,0))</x:f>
      </x:c>
      <x:c r="R220" s="20" t="str">
        <x:f>IF(A220="","",Q220*Settings!$B$8)</x:f>
      </x:c>
      <x:c r="S220" s="20" t="str">
        <x:f>IF(A220="","",M220+N220)</x:f>
      </x:c>
      <x:c r="T220" s="20" t="str">
        <x:f>IF(A220="","",S220+R220)</x:f>
      </x:c>
    </x:row>
    <x:row r="221">
      <x:c r="A221" s="26"/>
      <x:c r="B221" s="26" t="str">
        <x:f>IF(A221="","",A221-MOD(WEEKDAY(A221,2)-5,7))</x:f>
      </x:c>
      <x:c r="C221" s="26" t="str">
        <x:f>IF(B221="","",B221+7)</x:f>
      </x:c>
      <x:c r="D221" t="str">
        <x:f>IF(A221="","",TEXT(A221,"dddd"))</x:f>
      </x:c>
      <x:c r="E221" s="24"/>
      <x:c r="F221" s="24"/>
      <x:c r="G221" s="32" t="n">
        <x:f>IF(AND(E221&lt;Settings!$B$11,F221&gt;Settings!$B$11),Settings!$B$12,0)</x:f>
        <x:v>0</x:v>
      </x:c>
      <x:c r="H221" s="32" t="n">
        <x:f>IF(AND(E221&lt;Settings!$B$13,F221&gt;Settings!$B$13),Settings!$B$14,0)</x:f>
        <x:v>0</x:v>
      </x:c>
      <x:c r="I221" s="32" t="str">
        <x:f>IF(A221="","",G221+H221)</x:f>
      </x:c>
      <x:c r="J221" s="22" t="str">
        <x:f>IF(A221="","",((F221-E221)*24)-(I221/60))</x:f>
      </x:c>
      <x:c r="K221" s="22" t="str">
        <x:f>IF(A221="","",MIN(J221,8))</x:f>
      </x:c>
      <x:c r="L221" s="22" t="str">
        <x:f>IF(A221="","",MAX(J221-8,0))</x:f>
      </x:c>
      <x:c r="M221" s="20" t="str">
        <x:f>IF(A221="","",K221*Settings!$B$5)</x:f>
      </x:c>
      <x:c r="N221" s="20" t="str">
        <x:f>IF(A221="","",L221*Settings!$B$6)</x:f>
      </x:c>
      <x:c r="O221" s="22"/>
      <x:c r="P221" s="22"/>
      <x:c r="Q221" s="22" t="str">
        <x:f>IF(A221="","",MAX(O221-Settings!$B$7,0))</x:f>
      </x:c>
      <x:c r="R221" s="20" t="str">
        <x:f>IF(A221="","",Q221*Settings!$B$8)</x:f>
      </x:c>
      <x:c r="S221" s="20" t="str">
        <x:f>IF(A221="","",M221+N221)</x:f>
      </x:c>
      <x:c r="T221" s="20" t="str">
        <x:f>IF(A221="","",S221+R221)</x:f>
      </x:c>
    </x:row>
    <x:row r="222">
      <x:c r="A222" s="26"/>
      <x:c r="B222" s="26" t="str">
        <x:f>IF(A222="","",A222-MOD(WEEKDAY(A222,2)-5,7))</x:f>
      </x:c>
      <x:c r="C222" s="26" t="str">
        <x:f>IF(B222="","",B222+7)</x:f>
      </x:c>
      <x:c r="D222" t="str">
        <x:f>IF(A222="","",TEXT(A222,"dddd"))</x:f>
      </x:c>
      <x:c r="E222" s="24"/>
      <x:c r="F222" s="24"/>
      <x:c r="G222" s="32" t="n">
        <x:f>IF(AND(E222&lt;Settings!$B$11,F222&gt;Settings!$B$11),Settings!$B$12,0)</x:f>
        <x:v>0</x:v>
      </x:c>
      <x:c r="H222" s="32" t="n">
        <x:f>IF(AND(E222&lt;Settings!$B$13,F222&gt;Settings!$B$13),Settings!$B$14,0)</x:f>
        <x:v>0</x:v>
      </x:c>
      <x:c r="I222" s="32" t="str">
        <x:f>IF(A222="","",G222+H222)</x:f>
      </x:c>
      <x:c r="J222" s="22" t="str">
        <x:f>IF(A222="","",((F222-E222)*24)-(I222/60))</x:f>
      </x:c>
      <x:c r="K222" s="22" t="str">
        <x:f>IF(A222="","",MIN(J222,8))</x:f>
      </x:c>
      <x:c r="L222" s="22" t="str">
        <x:f>IF(A222="","",MAX(J222-8,0))</x:f>
      </x:c>
      <x:c r="M222" s="20" t="str">
        <x:f>IF(A222="","",K222*Settings!$B$5)</x:f>
      </x:c>
      <x:c r="N222" s="20" t="str">
        <x:f>IF(A222="","",L222*Settings!$B$6)</x:f>
      </x:c>
      <x:c r="O222" s="22"/>
      <x:c r="P222" s="22"/>
      <x:c r="Q222" s="22" t="str">
        <x:f>IF(A222="","",MAX(O222-Settings!$B$7,0))</x:f>
      </x:c>
      <x:c r="R222" s="20" t="str">
        <x:f>IF(A222="","",Q222*Settings!$B$8)</x:f>
      </x:c>
      <x:c r="S222" s="20" t="str">
        <x:f>IF(A222="","",M222+N222)</x:f>
      </x:c>
      <x:c r="T222" s="20" t="str">
        <x:f>IF(A222="","",S222+R222)</x:f>
      </x:c>
    </x:row>
    <x:row r="223">
      <x:c r="A223" s="26"/>
      <x:c r="B223" s="26" t="str">
        <x:f>IF(A223="","",A223-MOD(WEEKDAY(A223,2)-5,7))</x:f>
      </x:c>
      <x:c r="C223" s="26" t="str">
        <x:f>IF(B223="","",B223+7)</x:f>
      </x:c>
      <x:c r="D223" t="str">
        <x:f>IF(A223="","",TEXT(A223,"dddd"))</x:f>
      </x:c>
      <x:c r="E223" s="24"/>
      <x:c r="F223" s="24"/>
      <x:c r="G223" s="32" t="n">
        <x:f>IF(AND(E223&lt;Settings!$B$11,F223&gt;Settings!$B$11),Settings!$B$12,0)</x:f>
        <x:v>0</x:v>
      </x:c>
      <x:c r="H223" s="32" t="n">
        <x:f>IF(AND(E223&lt;Settings!$B$13,F223&gt;Settings!$B$13),Settings!$B$14,0)</x:f>
        <x:v>0</x:v>
      </x:c>
      <x:c r="I223" s="32" t="str">
        <x:f>IF(A223="","",G223+H223)</x:f>
      </x:c>
      <x:c r="J223" s="22" t="str">
        <x:f>IF(A223="","",((F223-E223)*24)-(I223/60))</x:f>
      </x:c>
      <x:c r="K223" s="22" t="str">
        <x:f>IF(A223="","",MIN(J223,8))</x:f>
      </x:c>
      <x:c r="L223" s="22" t="str">
        <x:f>IF(A223="","",MAX(J223-8,0))</x:f>
      </x:c>
      <x:c r="M223" s="20" t="str">
        <x:f>IF(A223="","",K223*Settings!$B$5)</x:f>
      </x:c>
      <x:c r="N223" s="20" t="str">
        <x:f>IF(A223="","",L223*Settings!$B$6)</x:f>
      </x:c>
      <x:c r="O223" s="22"/>
      <x:c r="P223" s="22"/>
      <x:c r="Q223" s="22" t="str">
        <x:f>IF(A223="","",MAX(O223-Settings!$B$7,0))</x:f>
      </x:c>
      <x:c r="R223" s="20" t="str">
        <x:f>IF(A223="","",Q223*Settings!$B$8)</x:f>
      </x:c>
      <x:c r="S223" s="20" t="str">
        <x:f>IF(A223="","",M223+N223)</x:f>
      </x:c>
      <x:c r="T223" s="20" t="str">
        <x:f>IF(A223="","",S223+R223)</x:f>
      </x:c>
    </x:row>
    <x:row r="224">
      <x:c r="A224" s="26"/>
      <x:c r="B224" s="26" t="str">
        <x:f>IF(A224="","",A224-MOD(WEEKDAY(A224,2)-5,7))</x:f>
      </x:c>
      <x:c r="C224" s="26" t="str">
        <x:f>IF(B224="","",B224+7)</x:f>
      </x:c>
      <x:c r="D224" t="str">
        <x:f>IF(A224="","",TEXT(A224,"dddd"))</x:f>
      </x:c>
      <x:c r="E224" s="24"/>
      <x:c r="F224" s="24"/>
      <x:c r="G224" s="32" t="n">
        <x:f>IF(AND(E224&lt;Settings!$B$11,F224&gt;Settings!$B$11),Settings!$B$12,0)</x:f>
        <x:v>0</x:v>
      </x:c>
      <x:c r="H224" s="32" t="n">
        <x:f>IF(AND(E224&lt;Settings!$B$13,F224&gt;Settings!$B$13),Settings!$B$14,0)</x:f>
        <x:v>0</x:v>
      </x:c>
      <x:c r="I224" s="32" t="str">
        <x:f>IF(A224="","",G224+H224)</x:f>
      </x:c>
      <x:c r="J224" s="22" t="str">
        <x:f>IF(A224="","",((F224-E224)*24)-(I224/60))</x:f>
      </x:c>
      <x:c r="K224" s="22" t="str">
        <x:f>IF(A224="","",MIN(J224,8))</x:f>
      </x:c>
      <x:c r="L224" s="22" t="str">
        <x:f>IF(A224="","",MAX(J224-8,0))</x:f>
      </x:c>
      <x:c r="M224" s="20" t="str">
        <x:f>IF(A224="","",K224*Settings!$B$5)</x:f>
      </x:c>
      <x:c r="N224" s="20" t="str">
        <x:f>IF(A224="","",L224*Settings!$B$6)</x:f>
      </x:c>
      <x:c r="O224" s="22"/>
      <x:c r="P224" s="22"/>
      <x:c r="Q224" s="22" t="str">
        <x:f>IF(A224="","",MAX(O224-Settings!$B$7,0))</x:f>
      </x:c>
      <x:c r="R224" s="20" t="str">
        <x:f>IF(A224="","",Q224*Settings!$B$8)</x:f>
      </x:c>
      <x:c r="S224" s="20" t="str">
        <x:f>IF(A224="","",M224+N224)</x:f>
      </x:c>
      <x:c r="T224" s="20" t="str">
        <x:f>IF(A224="","",S224+R224)</x:f>
      </x:c>
    </x:row>
    <x:row r="225">
      <x:c r="A225" s="26"/>
      <x:c r="B225" s="26" t="str">
        <x:f>IF(A225="","",A225-MOD(WEEKDAY(A225,2)-5,7))</x:f>
      </x:c>
      <x:c r="C225" s="26" t="str">
        <x:f>IF(B225="","",B225+7)</x:f>
      </x:c>
      <x:c r="D225" t="str">
        <x:f>IF(A225="","",TEXT(A225,"dddd"))</x:f>
      </x:c>
      <x:c r="E225" s="24"/>
      <x:c r="F225" s="24"/>
      <x:c r="G225" s="32" t="n">
        <x:f>IF(AND(E225&lt;Settings!$B$11,F225&gt;Settings!$B$11),Settings!$B$12,0)</x:f>
        <x:v>0</x:v>
      </x:c>
      <x:c r="H225" s="32" t="n">
        <x:f>IF(AND(E225&lt;Settings!$B$13,F225&gt;Settings!$B$13),Settings!$B$14,0)</x:f>
        <x:v>0</x:v>
      </x:c>
      <x:c r="I225" s="32" t="str">
        <x:f>IF(A225="","",G225+H225)</x:f>
      </x:c>
      <x:c r="J225" s="22" t="str">
        <x:f>IF(A225="","",((F225-E225)*24)-(I225/60))</x:f>
      </x:c>
      <x:c r="K225" s="22" t="str">
        <x:f>IF(A225="","",MIN(J225,8))</x:f>
      </x:c>
      <x:c r="L225" s="22" t="str">
        <x:f>IF(A225="","",MAX(J225-8,0))</x:f>
      </x:c>
      <x:c r="M225" s="20" t="str">
        <x:f>IF(A225="","",K225*Settings!$B$5)</x:f>
      </x:c>
      <x:c r="N225" s="20" t="str">
        <x:f>IF(A225="","",L225*Settings!$B$6)</x:f>
      </x:c>
      <x:c r="O225" s="22"/>
      <x:c r="P225" s="22"/>
      <x:c r="Q225" s="22" t="str">
        <x:f>IF(A225="","",MAX(O225-Settings!$B$7,0))</x:f>
      </x:c>
      <x:c r="R225" s="20" t="str">
        <x:f>IF(A225="","",Q225*Settings!$B$8)</x:f>
      </x:c>
      <x:c r="S225" s="20" t="str">
        <x:f>IF(A225="","",M225+N225)</x:f>
      </x:c>
      <x:c r="T225" s="20" t="str">
        <x:f>IF(A225="","",S225+R225)</x:f>
      </x:c>
    </x:row>
    <x:row r="226">
      <x:c r="A226" s="26"/>
      <x:c r="B226" s="26" t="str">
        <x:f>IF(A226="","",A226-MOD(WEEKDAY(A226,2)-5,7))</x:f>
      </x:c>
      <x:c r="C226" s="26" t="str">
        <x:f>IF(B226="","",B226+7)</x:f>
      </x:c>
      <x:c r="D226" t="str">
        <x:f>IF(A226="","",TEXT(A226,"dddd"))</x:f>
      </x:c>
      <x:c r="E226" s="24"/>
      <x:c r="F226" s="24"/>
      <x:c r="G226" s="32" t="n">
        <x:f>IF(AND(E226&lt;Settings!$B$11,F226&gt;Settings!$B$11),Settings!$B$12,0)</x:f>
        <x:v>0</x:v>
      </x:c>
      <x:c r="H226" s="32" t="n">
        <x:f>IF(AND(E226&lt;Settings!$B$13,F226&gt;Settings!$B$13),Settings!$B$14,0)</x:f>
        <x:v>0</x:v>
      </x:c>
      <x:c r="I226" s="32" t="str">
        <x:f>IF(A226="","",G226+H226)</x:f>
      </x:c>
      <x:c r="J226" s="22" t="str">
        <x:f>IF(A226="","",((F226-E226)*24)-(I226/60))</x:f>
      </x:c>
      <x:c r="K226" s="22" t="str">
        <x:f>IF(A226="","",MIN(J226,8))</x:f>
      </x:c>
      <x:c r="L226" s="22" t="str">
        <x:f>IF(A226="","",MAX(J226-8,0))</x:f>
      </x:c>
      <x:c r="M226" s="20" t="str">
        <x:f>IF(A226="","",K226*Settings!$B$5)</x:f>
      </x:c>
      <x:c r="N226" s="20" t="str">
        <x:f>IF(A226="","",L226*Settings!$B$6)</x:f>
      </x:c>
      <x:c r="O226" s="22"/>
      <x:c r="P226" s="22"/>
      <x:c r="Q226" s="22" t="str">
        <x:f>IF(A226="","",MAX(O226-Settings!$B$7,0))</x:f>
      </x:c>
      <x:c r="R226" s="20" t="str">
        <x:f>IF(A226="","",Q226*Settings!$B$8)</x:f>
      </x:c>
      <x:c r="S226" s="20" t="str">
        <x:f>IF(A226="","",M226+N226)</x:f>
      </x:c>
      <x:c r="T226" s="20" t="str">
        <x:f>IF(A226="","",S226+R226)</x:f>
      </x:c>
    </x:row>
    <x:row r="227">
      <x:c r="A227" s="26"/>
      <x:c r="B227" s="26" t="str">
        <x:f>IF(A227="","",A227-MOD(WEEKDAY(A227,2)-5,7))</x:f>
      </x:c>
      <x:c r="C227" s="26" t="str">
        <x:f>IF(B227="","",B227+7)</x:f>
      </x:c>
      <x:c r="D227" t="str">
        <x:f>IF(A227="","",TEXT(A227,"dddd"))</x:f>
      </x:c>
      <x:c r="E227" s="24"/>
      <x:c r="F227" s="24"/>
      <x:c r="G227" s="32" t="n">
        <x:f>IF(AND(E227&lt;Settings!$B$11,F227&gt;Settings!$B$11),Settings!$B$12,0)</x:f>
        <x:v>0</x:v>
      </x:c>
      <x:c r="H227" s="32" t="n">
        <x:f>IF(AND(E227&lt;Settings!$B$13,F227&gt;Settings!$B$13),Settings!$B$14,0)</x:f>
        <x:v>0</x:v>
      </x:c>
      <x:c r="I227" s="32" t="str">
        <x:f>IF(A227="","",G227+H227)</x:f>
      </x:c>
      <x:c r="J227" s="22" t="str">
        <x:f>IF(A227="","",((F227-E227)*24)-(I227/60))</x:f>
      </x:c>
      <x:c r="K227" s="22" t="str">
        <x:f>IF(A227="","",MIN(J227,8))</x:f>
      </x:c>
      <x:c r="L227" s="22" t="str">
        <x:f>IF(A227="","",MAX(J227-8,0))</x:f>
      </x:c>
      <x:c r="M227" s="20" t="str">
        <x:f>IF(A227="","",K227*Settings!$B$5)</x:f>
      </x:c>
      <x:c r="N227" s="20" t="str">
        <x:f>IF(A227="","",L227*Settings!$B$6)</x:f>
      </x:c>
      <x:c r="O227" s="22"/>
      <x:c r="P227" s="22"/>
      <x:c r="Q227" s="22" t="str">
        <x:f>IF(A227="","",MAX(O227-Settings!$B$7,0))</x:f>
      </x:c>
      <x:c r="R227" s="20" t="str">
        <x:f>IF(A227="","",Q227*Settings!$B$8)</x:f>
      </x:c>
      <x:c r="S227" s="20" t="str">
        <x:f>IF(A227="","",M227+N227)</x:f>
      </x:c>
      <x:c r="T227" s="20" t="str">
        <x:f>IF(A227="","",S227+R227)</x:f>
      </x:c>
    </x:row>
    <x:row r="228">
      <x:c r="A228" s="26"/>
      <x:c r="B228" s="26" t="str">
        <x:f>IF(A228="","",A228-MOD(WEEKDAY(A228,2)-5,7))</x:f>
      </x:c>
      <x:c r="C228" s="26" t="str">
        <x:f>IF(B228="","",B228+7)</x:f>
      </x:c>
      <x:c r="D228" t="str">
        <x:f>IF(A228="","",TEXT(A228,"dddd"))</x:f>
      </x:c>
      <x:c r="E228" s="24"/>
      <x:c r="F228" s="24"/>
      <x:c r="G228" s="32" t="n">
        <x:f>IF(AND(E228&lt;Settings!$B$11,F228&gt;Settings!$B$11),Settings!$B$12,0)</x:f>
        <x:v>0</x:v>
      </x:c>
      <x:c r="H228" s="32" t="n">
        <x:f>IF(AND(E228&lt;Settings!$B$13,F228&gt;Settings!$B$13),Settings!$B$14,0)</x:f>
        <x:v>0</x:v>
      </x:c>
      <x:c r="I228" s="32" t="str">
        <x:f>IF(A228="","",G228+H228)</x:f>
      </x:c>
      <x:c r="J228" s="22" t="str">
        <x:f>IF(A228="","",((F228-E228)*24)-(I228/60))</x:f>
      </x:c>
      <x:c r="K228" s="22" t="str">
        <x:f>IF(A228="","",MIN(J228,8))</x:f>
      </x:c>
      <x:c r="L228" s="22" t="str">
        <x:f>IF(A228="","",MAX(J228-8,0))</x:f>
      </x:c>
      <x:c r="M228" s="20" t="str">
        <x:f>IF(A228="","",K228*Settings!$B$5)</x:f>
      </x:c>
      <x:c r="N228" s="20" t="str">
        <x:f>IF(A228="","",L228*Settings!$B$6)</x:f>
      </x:c>
      <x:c r="O228" s="22"/>
      <x:c r="P228" s="22"/>
      <x:c r="Q228" s="22" t="str">
        <x:f>IF(A228="","",MAX(O228-Settings!$B$7,0))</x:f>
      </x:c>
      <x:c r="R228" s="20" t="str">
        <x:f>IF(A228="","",Q228*Settings!$B$8)</x:f>
      </x:c>
      <x:c r="S228" s="20" t="str">
        <x:f>IF(A228="","",M228+N228)</x:f>
      </x:c>
      <x:c r="T228" s="20" t="str">
        <x:f>IF(A228="","",S228+R228)</x:f>
      </x:c>
    </x:row>
    <x:row r="229">
      <x:c r="A229" s="26"/>
      <x:c r="B229" s="26" t="str">
        <x:f>IF(A229="","",A229-MOD(WEEKDAY(A229,2)-5,7))</x:f>
      </x:c>
      <x:c r="C229" s="26" t="str">
        <x:f>IF(B229="","",B229+7)</x:f>
      </x:c>
      <x:c r="D229" t="str">
        <x:f>IF(A229="","",TEXT(A229,"dddd"))</x:f>
      </x:c>
      <x:c r="E229" s="24"/>
      <x:c r="F229" s="24"/>
      <x:c r="G229" s="32" t="n">
        <x:f>IF(AND(E229&lt;Settings!$B$11,F229&gt;Settings!$B$11),Settings!$B$12,0)</x:f>
        <x:v>0</x:v>
      </x:c>
      <x:c r="H229" s="32" t="n">
        <x:f>IF(AND(E229&lt;Settings!$B$13,F229&gt;Settings!$B$13),Settings!$B$14,0)</x:f>
        <x:v>0</x:v>
      </x:c>
      <x:c r="I229" s="32" t="str">
        <x:f>IF(A229="","",G229+H229)</x:f>
      </x:c>
      <x:c r="J229" s="22" t="str">
        <x:f>IF(A229="","",((F229-E229)*24)-(I229/60))</x:f>
      </x:c>
      <x:c r="K229" s="22" t="str">
        <x:f>IF(A229="","",MIN(J229,8))</x:f>
      </x:c>
      <x:c r="L229" s="22" t="str">
        <x:f>IF(A229="","",MAX(J229-8,0))</x:f>
      </x:c>
      <x:c r="M229" s="20" t="str">
        <x:f>IF(A229="","",K229*Settings!$B$5)</x:f>
      </x:c>
      <x:c r="N229" s="20" t="str">
        <x:f>IF(A229="","",L229*Settings!$B$6)</x:f>
      </x:c>
      <x:c r="O229" s="22"/>
      <x:c r="P229" s="22"/>
      <x:c r="Q229" s="22" t="str">
        <x:f>IF(A229="","",MAX(O229-Settings!$B$7,0))</x:f>
      </x:c>
      <x:c r="R229" s="20" t="str">
        <x:f>IF(A229="","",Q229*Settings!$B$8)</x:f>
      </x:c>
      <x:c r="S229" s="20" t="str">
        <x:f>IF(A229="","",M229+N229)</x:f>
      </x:c>
      <x:c r="T229" s="20" t="str">
        <x:f>IF(A229="","",S229+R229)</x:f>
      </x:c>
    </x:row>
    <x:row r="230">
      <x:c r="A230" s="26"/>
      <x:c r="B230" s="26" t="str">
        <x:f>IF(A230="","",A230-MOD(WEEKDAY(A230,2)-5,7))</x:f>
      </x:c>
      <x:c r="C230" s="26" t="str">
        <x:f>IF(B230="","",B230+7)</x:f>
      </x:c>
      <x:c r="D230" t="str">
        <x:f>IF(A230="","",TEXT(A230,"dddd"))</x:f>
      </x:c>
      <x:c r="E230" s="24"/>
      <x:c r="F230" s="24"/>
      <x:c r="G230" s="32" t="n">
        <x:f>IF(AND(E230&lt;Settings!$B$11,F230&gt;Settings!$B$11),Settings!$B$12,0)</x:f>
        <x:v>0</x:v>
      </x:c>
      <x:c r="H230" s="32" t="n">
        <x:f>IF(AND(E230&lt;Settings!$B$13,F230&gt;Settings!$B$13),Settings!$B$14,0)</x:f>
        <x:v>0</x:v>
      </x:c>
      <x:c r="I230" s="32" t="str">
        <x:f>IF(A230="","",G230+H230)</x:f>
      </x:c>
      <x:c r="J230" s="22" t="str">
        <x:f>IF(A230="","",((F230-E230)*24)-(I230/60))</x:f>
      </x:c>
      <x:c r="K230" s="22" t="str">
        <x:f>IF(A230="","",MIN(J230,8))</x:f>
      </x:c>
      <x:c r="L230" s="22" t="str">
        <x:f>IF(A230="","",MAX(J230-8,0))</x:f>
      </x:c>
      <x:c r="M230" s="20" t="str">
        <x:f>IF(A230="","",K230*Settings!$B$5)</x:f>
      </x:c>
      <x:c r="N230" s="20" t="str">
        <x:f>IF(A230="","",L230*Settings!$B$6)</x:f>
      </x:c>
      <x:c r="O230" s="22"/>
      <x:c r="P230" s="22"/>
      <x:c r="Q230" s="22" t="str">
        <x:f>IF(A230="","",MAX(O230-Settings!$B$7,0))</x:f>
      </x:c>
      <x:c r="R230" s="20" t="str">
        <x:f>IF(A230="","",Q230*Settings!$B$8)</x:f>
      </x:c>
      <x:c r="S230" s="20" t="str">
        <x:f>IF(A230="","",M230+N230)</x:f>
      </x:c>
      <x:c r="T230" s="20" t="str">
        <x:f>IF(A230="","",S230+R230)</x:f>
      </x:c>
    </x:row>
    <x:row r="231">
      <x:c r="A231" s="26"/>
      <x:c r="B231" s="26" t="str">
        <x:f>IF(A231="","",A231-MOD(WEEKDAY(A231,2)-5,7))</x:f>
      </x:c>
      <x:c r="C231" s="26" t="str">
        <x:f>IF(B231="","",B231+7)</x:f>
      </x:c>
      <x:c r="D231" t="str">
        <x:f>IF(A231="","",TEXT(A231,"dddd"))</x:f>
      </x:c>
      <x:c r="E231" s="24"/>
      <x:c r="F231" s="24"/>
      <x:c r="G231" s="32" t="n">
        <x:f>IF(AND(E231&lt;Settings!$B$11,F231&gt;Settings!$B$11),Settings!$B$12,0)</x:f>
        <x:v>0</x:v>
      </x:c>
      <x:c r="H231" s="32" t="n">
        <x:f>IF(AND(E231&lt;Settings!$B$13,F231&gt;Settings!$B$13),Settings!$B$14,0)</x:f>
        <x:v>0</x:v>
      </x:c>
      <x:c r="I231" s="32" t="str">
        <x:f>IF(A231="","",G231+H231)</x:f>
      </x:c>
      <x:c r="J231" s="22" t="str">
        <x:f>IF(A231="","",((F231-E231)*24)-(I231/60))</x:f>
      </x:c>
      <x:c r="K231" s="22" t="str">
        <x:f>IF(A231="","",MIN(J231,8))</x:f>
      </x:c>
      <x:c r="L231" s="22" t="str">
        <x:f>IF(A231="","",MAX(J231-8,0))</x:f>
      </x:c>
      <x:c r="M231" s="20" t="str">
        <x:f>IF(A231="","",K231*Settings!$B$5)</x:f>
      </x:c>
      <x:c r="N231" s="20" t="str">
        <x:f>IF(A231="","",L231*Settings!$B$6)</x:f>
      </x:c>
      <x:c r="O231" s="22"/>
      <x:c r="P231" s="22"/>
      <x:c r="Q231" s="22" t="str">
        <x:f>IF(A231="","",MAX(O231-Settings!$B$7,0))</x:f>
      </x:c>
      <x:c r="R231" s="20" t="str">
        <x:f>IF(A231="","",Q231*Settings!$B$8)</x:f>
      </x:c>
      <x:c r="S231" s="20" t="str">
        <x:f>IF(A231="","",M231+N231)</x:f>
      </x:c>
      <x:c r="T231" s="20" t="str">
        <x:f>IF(A231="","",S231+R231)</x:f>
      </x:c>
    </x:row>
    <x:row r="232">
      <x:c r="A232" s="26"/>
      <x:c r="B232" s="26" t="str">
        <x:f>IF(A232="","",A232-MOD(WEEKDAY(A232,2)-5,7))</x:f>
      </x:c>
      <x:c r="C232" s="26" t="str">
        <x:f>IF(B232="","",B232+7)</x:f>
      </x:c>
      <x:c r="D232" t="str">
        <x:f>IF(A232="","",TEXT(A232,"dddd"))</x:f>
      </x:c>
      <x:c r="E232" s="24"/>
      <x:c r="F232" s="24"/>
      <x:c r="G232" s="32" t="n">
        <x:f>IF(AND(E232&lt;Settings!$B$11,F232&gt;Settings!$B$11),Settings!$B$12,0)</x:f>
        <x:v>0</x:v>
      </x:c>
      <x:c r="H232" s="32" t="n">
        <x:f>IF(AND(E232&lt;Settings!$B$13,F232&gt;Settings!$B$13),Settings!$B$14,0)</x:f>
        <x:v>0</x:v>
      </x:c>
      <x:c r="I232" s="32" t="str">
        <x:f>IF(A232="","",G232+H232)</x:f>
      </x:c>
      <x:c r="J232" s="22" t="str">
        <x:f>IF(A232="","",((F232-E232)*24)-(I232/60))</x:f>
      </x:c>
      <x:c r="K232" s="22" t="str">
        <x:f>IF(A232="","",MIN(J232,8))</x:f>
      </x:c>
      <x:c r="L232" s="22" t="str">
        <x:f>IF(A232="","",MAX(J232-8,0))</x:f>
      </x:c>
      <x:c r="M232" s="20" t="str">
        <x:f>IF(A232="","",K232*Settings!$B$5)</x:f>
      </x:c>
      <x:c r="N232" s="20" t="str">
        <x:f>IF(A232="","",L232*Settings!$B$6)</x:f>
      </x:c>
      <x:c r="O232" s="22"/>
      <x:c r="P232" s="22"/>
      <x:c r="Q232" s="22" t="str">
        <x:f>IF(A232="","",MAX(O232-Settings!$B$7,0))</x:f>
      </x:c>
      <x:c r="R232" s="20" t="str">
        <x:f>IF(A232="","",Q232*Settings!$B$8)</x:f>
      </x:c>
      <x:c r="S232" s="20" t="str">
        <x:f>IF(A232="","",M232+N232)</x:f>
      </x:c>
      <x:c r="T232" s="20" t="str">
        <x:f>IF(A232="","",S232+R232)</x:f>
      </x:c>
    </x:row>
    <x:row r="233">
      <x:c r="A233" s="26"/>
      <x:c r="B233" s="26" t="str">
        <x:f>IF(A233="","",A233-MOD(WEEKDAY(A233,2)-5,7))</x:f>
      </x:c>
      <x:c r="C233" s="26" t="str">
        <x:f>IF(B233="","",B233+7)</x:f>
      </x:c>
      <x:c r="D233" t="str">
        <x:f>IF(A233="","",TEXT(A233,"dddd"))</x:f>
      </x:c>
      <x:c r="E233" s="24"/>
      <x:c r="F233" s="24"/>
      <x:c r="G233" s="32" t="n">
        <x:f>IF(AND(E233&lt;Settings!$B$11,F233&gt;Settings!$B$11),Settings!$B$12,0)</x:f>
        <x:v>0</x:v>
      </x:c>
      <x:c r="H233" s="32" t="n">
        <x:f>IF(AND(E233&lt;Settings!$B$13,F233&gt;Settings!$B$13),Settings!$B$14,0)</x:f>
        <x:v>0</x:v>
      </x:c>
      <x:c r="I233" s="32" t="str">
        <x:f>IF(A233="","",G233+H233)</x:f>
      </x:c>
      <x:c r="J233" s="22" t="str">
        <x:f>IF(A233="","",((F233-E233)*24)-(I233/60))</x:f>
      </x:c>
      <x:c r="K233" s="22" t="str">
        <x:f>IF(A233="","",MIN(J233,8))</x:f>
      </x:c>
      <x:c r="L233" s="22" t="str">
        <x:f>IF(A233="","",MAX(J233-8,0))</x:f>
      </x:c>
      <x:c r="M233" s="20" t="str">
        <x:f>IF(A233="","",K233*Settings!$B$5)</x:f>
      </x:c>
      <x:c r="N233" s="20" t="str">
        <x:f>IF(A233="","",L233*Settings!$B$6)</x:f>
      </x:c>
      <x:c r="O233" s="22"/>
      <x:c r="P233" s="22"/>
      <x:c r="Q233" s="22" t="str">
        <x:f>IF(A233="","",MAX(O233-Settings!$B$7,0))</x:f>
      </x:c>
      <x:c r="R233" s="20" t="str">
        <x:f>IF(A233="","",Q233*Settings!$B$8)</x:f>
      </x:c>
      <x:c r="S233" s="20" t="str">
        <x:f>IF(A233="","",M233+N233)</x:f>
      </x:c>
      <x:c r="T233" s="20" t="str">
        <x:f>IF(A233="","",S233+R233)</x:f>
      </x:c>
    </x:row>
    <x:row r="234">
      <x:c r="A234" s="26"/>
      <x:c r="B234" s="26" t="str">
        <x:f>IF(A234="","",A234-MOD(WEEKDAY(A234,2)-5,7))</x:f>
      </x:c>
      <x:c r="C234" s="26" t="str">
        <x:f>IF(B234="","",B234+7)</x:f>
      </x:c>
      <x:c r="D234" t="str">
        <x:f>IF(A234="","",TEXT(A234,"dddd"))</x:f>
      </x:c>
      <x:c r="E234" s="24"/>
      <x:c r="F234" s="24"/>
      <x:c r="G234" s="32" t="n">
        <x:f>IF(AND(E234&lt;Settings!$B$11,F234&gt;Settings!$B$11),Settings!$B$12,0)</x:f>
        <x:v>0</x:v>
      </x:c>
      <x:c r="H234" s="32" t="n">
        <x:f>IF(AND(E234&lt;Settings!$B$13,F234&gt;Settings!$B$13),Settings!$B$14,0)</x:f>
        <x:v>0</x:v>
      </x:c>
      <x:c r="I234" s="32" t="str">
        <x:f>IF(A234="","",G234+H234)</x:f>
      </x:c>
      <x:c r="J234" s="22" t="str">
        <x:f>IF(A234="","",((F234-E234)*24)-(I234/60))</x:f>
      </x:c>
      <x:c r="K234" s="22" t="str">
        <x:f>IF(A234="","",MIN(J234,8))</x:f>
      </x:c>
      <x:c r="L234" s="22" t="str">
        <x:f>IF(A234="","",MAX(J234-8,0))</x:f>
      </x:c>
      <x:c r="M234" s="20" t="str">
        <x:f>IF(A234="","",K234*Settings!$B$5)</x:f>
      </x:c>
      <x:c r="N234" s="20" t="str">
        <x:f>IF(A234="","",L234*Settings!$B$6)</x:f>
      </x:c>
      <x:c r="O234" s="22"/>
      <x:c r="P234" s="22"/>
      <x:c r="Q234" s="22" t="str">
        <x:f>IF(A234="","",MAX(O234-Settings!$B$7,0))</x:f>
      </x:c>
      <x:c r="R234" s="20" t="str">
        <x:f>IF(A234="","",Q234*Settings!$B$8)</x:f>
      </x:c>
      <x:c r="S234" s="20" t="str">
        <x:f>IF(A234="","",M234+N234)</x:f>
      </x:c>
      <x:c r="T234" s="20" t="str">
        <x:f>IF(A234="","",S234+R234)</x:f>
      </x:c>
    </x:row>
    <x:row r="235">
      <x:c r="A235" s="26"/>
      <x:c r="B235" s="26" t="str">
        <x:f>IF(A235="","",A235-MOD(WEEKDAY(A235,2)-5,7))</x:f>
      </x:c>
      <x:c r="C235" s="26" t="str">
        <x:f>IF(B235="","",B235+7)</x:f>
      </x:c>
      <x:c r="D235" t="str">
        <x:f>IF(A235="","",TEXT(A235,"dddd"))</x:f>
      </x:c>
      <x:c r="E235" s="24"/>
      <x:c r="F235" s="24"/>
      <x:c r="G235" s="32" t="n">
        <x:f>IF(AND(E235&lt;Settings!$B$11,F235&gt;Settings!$B$11),Settings!$B$12,0)</x:f>
        <x:v>0</x:v>
      </x:c>
      <x:c r="H235" s="32" t="n">
        <x:f>IF(AND(E235&lt;Settings!$B$13,F235&gt;Settings!$B$13),Settings!$B$14,0)</x:f>
        <x:v>0</x:v>
      </x:c>
      <x:c r="I235" s="32" t="str">
        <x:f>IF(A235="","",G235+H235)</x:f>
      </x:c>
      <x:c r="J235" s="22" t="str">
        <x:f>IF(A235="","",((F235-E235)*24)-(I235/60))</x:f>
      </x:c>
      <x:c r="K235" s="22" t="str">
        <x:f>IF(A235="","",MIN(J235,8))</x:f>
      </x:c>
      <x:c r="L235" s="22" t="str">
        <x:f>IF(A235="","",MAX(J235-8,0))</x:f>
      </x:c>
      <x:c r="M235" s="20" t="str">
        <x:f>IF(A235="","",K235*Settings!$B$5)</x:f>
      </x:c>
      <x:c r="N235" s="20" t="str">
        <x:f>IF(A235="","",L235*Settings!$B$6)</x:f>
      </x:c>
      <x:c r="O235" s="22"/>
      <x:c r="P235" s="22"/>
      <x:c r="Q235" s="22" t="str">
        <x:f>IF(A235="","",MAX(O235-Settings!$B$7,0))</x:f>
      </x:c>
      <x:c r="R235" s="20" t="str">
        <x:f>IF(A235="","",Q235*Settings!$B$8)</x:f>
      </x:c>
      <x:c r="S235" s="20" t="str">
        <x:f>IF(A235="","",M235+N235)</x:f>
      </x:c>
      <x:c r="T235" s="20" t="str">
        <x:f>IF(A235="","",S235+R235)</x:f>
      </x:c>
    </x:row>
    <x:row r="236">
      <x:c r="A236" s="26"/>
      <x:c r="B236" s="26" t="str">
        <x:f>IF(A236="","",A236-MOD(WEEKDAY(A236,2)-5,7))</x:f>
      </x:c>
      <x:c r="C236" s="26" t="str">
        <x:f>IF(B236="","",B236+7)</x:f>
      </x:c>
      <x:c r="D236" t="str">
        <x:f>IF(A236="","",TEXT(A236,"dddd"))</x:f>
      </x:c>
      <x:c r="E236" s="24"/>
      <x:c r="F236" s="24"/>
      <x:c r="G236" s="32" t="n">
        <x:f>IF(AND(E236&lt;Settings!$B$11,F236&gt;Settings!$B$11),Settings!$B$12,0)</x:f>
        <x:v>0</x:v>
      </x:c>
      <x:c r="H236" s="32" t="n">
        <x:f>IF(AND(E236&lt;Settings!$B$13,F236&gt;Settings!$B$13),Settings!$B$14,0)</x:f>
        <x:v>0</x:v>
      </x:c>
      <x:c r="I236" s="32" t="str">
        <x:f>IF(A236="","",G236+H236)</x:f>
      </x:c>
      <x:c r="J236" s="22" t="str">
        <x:f>IF(A236="","",((F236-E236)*24)-(I236/60))</x:f>
      </x:c>
      <x:c r="K236" s="22" t="str">
        <x:f>IF(A236="","",MIN(J236,8))</x:f>
      </x:c>
      <x:c r="L236" s="22" t="str">
        <x:f>IF(A236="","",MAX(J236-8,0))</x:f>
      </x:c>
      <x:c r="M236" s="20" t="str">
        <x:f>IF(A236="","",K236*Settings!$B$5)</x:f>
      </x:c>
      <x:c r="N236" s="20" t="str">
        <x:f>IF(A236="","",L236*Settings!$B$6)</x:f>
      </x:c>
      <x:c r="O236" s="22"/>
      <x:c r="P236" s="22"/>
      <x:c r="Q236" s="22" t="str">
        <x:f>IF(A236="","",MAX(O236-Settings!$B$7,0))</x:f>
      </x:c>
      <x:c r="R236" s="20" t="str">
        <x:f>IF(A236="","",Q236*Settings!$B$8)</x:f>
      </x:c>
      <x:c r="S236" s="20" t="str">
        <x:f>IF(A236="","",M236+N236)</x:f>
      </x:c>
      <x:c r="T236" s="20" t="str">
        <x:f>IF(A236="","",S236+R236)</x:f>
      </x:c>
    </x:row>
    <x:row r="237">
      <x:c r="A237" s="26"/>
      <x:c r="B237" s="26" t="str">
        <x:f>IF(A237="","",A237-MOD(WEEKDAY(A237,2)-5,7))</x:f>
      </x:c>
      <x:c r="C237" s="26" t="str">
        <x:f>IF(B237="","",B237+7)</x:f>
      </x:c>
      <x:c r="D237" t="str">
        <x:f>IF(A237="","",TEXT(A237,"dddd"))</x:f>
      </x:c>
      <x:c r="E237" s="24"/>
      <x:c r="F237" s="24"/>
      <x:c r="G237" s="32" t="n">
        <x:f>IF(AND(E237&lt;Settings!$B$11,F237&gt;Settings!$B$11),Settings!$B$12,0)</x:f>
        <x:v>0</x:v>
      </x:c>
      <x:c r="H237" s="32" t="n">
        <x:f>IF(AND(E237&lt;Settings!$B$13,F237&gt;Settings!$B$13),Settings!$B$14,0)</x:f>
        <x:v>0</x:v>
      </x:c>
      <x:c r="I237" s="32" t="str">
        <x:f>IF(A237="","",G237+H237)</x:f>
      </x:c>
      <x:c r="J237" s="22" t="str">
        <x:f>IF(A237="","",((F237-E237)*24)-(I237/60))</x:f>
      </x:c>
      <x:c r="K237" s="22" t="str">
        <x:f>IF(A237="","",MIN(J237,8))</x:f>
      </x:c>
      <x:c r="L237" s="22" t="str">
        <x:f>IF(A237="","",MAX(J237-8,0))</x:f>
      </x:c>
      <x:c r="M237" s="20" t="str">
        <x:f>IF(A237="","",K237*Settings!$B$5)</x:f>
      </x:c>
      <x:c r="N237" s="20" t="str">
        <x:f>IF(A237="","",L237*Settings!$B$6)</x:f>
      </x:c>
      <x:c r="O237" s="22"/>
      <x:c r="P237" s="22"/>
      <x:c r="Q237" s="22" t="str">
        <x:f>IF(A237="","",MAX(O237-Settings!$B$7,0))</x:f>
      </x:c>
      <x:c r="R237" s="20" t="str">
        <x:f>IF(A237="","",Q237*Settings!$B$8)</x:f>
      </x:c>
      <x:c r="S237" s="20" t="str">
        <x:f>IF(A237="","",M237+N237)</x:f>
      </x:c>
      <x:c r="T237" s="20" t="str">
        <x:f>IF(A237="","",S237+R237)</x:f>
      </x:c>
    </x:row>
    <x:row r="238">
      <x:c r="A238" s="26"/>
      <x:c r="B238" s="26" t="str">
        <x:f>IF(A238="","",A238-MOD(WEEKDAY(A238,2)-5,7))</x:f>
      </x:c>
      <x:c r="C238" s="26" t="str">
        <x:f>IF(B238="","",B238+7)</x:f>
      </x:c>
      <x:c r="D238" t="str">
        <x:f>IF(A238="","",TEXT(A238,"dddd"))</x:f>
      </x:c>
      <x:c r="E238" s="24"/>
      <x:c r="F238" s="24"/>
      <x:c r="G238" s="32" t="n">
        <x:f>IF(AND(E238&lt;Settings!$B$11,F238&gt;Settings!$B$11),Settings!$B$12,0)</x:f>
        <x:v>0</x:v>
      </x:c>
      <x:c r="H238" s="32" t="n">
        <x:f>IF(AND(E238&lt;Settings!$B$13,F238&gt;Settings!$B$13),Settings!$B$14,0)</x:f>
        <x:v>0</x:v>
      </x:c>
      <x:c r="I238" s="32" t="str">
        <x:f>IF(A238="","",G238+H238)</x:f>
      </x:c>
      <x:c r="J238" s="22" t="str">
        <x:f>IF(A238="","",((F238-E238)*24)-(I238/60))</x:f>
      </x:c>
      <x:c r="K238" s="22" t="str">
        <x:f>IF(A238="","",MIN(J238,8))</x:f>
      </x:c>
      <x:c r="L238" s="22" t="str">
        <x:f>IF(A238="","",MAX(J238-8,0))</x:f>
      </x:c>
      <x:c r="M238" s="20" t="str">
        <x:f>IF(A238="","",K238*Settings!$B$5)</x:f>
      </x:c>
      <x:c r="N238" s="20" t="str">
        <x:f>IF(A238="","",L238*Settings!$B$6)</x:f>
      </x:c>
      <x:c r="O238" s="22"/>
      <x:c r="P238" s="22"/>
      <x:c r="Q238" s="22" t="str">
        <x:f>IF(A238="","",MAX(O238-Settings!$B$7,0))</x:f>
      </x:c>
      <x:c r="R238" s="20" t="str">
        <x:f>IF(A238="","",Q238*Settings!$B$8)</x:f>
      </x:c>
      <x:c r="S238" s="20" t="str">
        <x:f>IF(A238="","",M238+N238)</x:f>
      </x:c>
      <x:c r="T238" s="20" t="str">
        <x:f>IF(A238="","",S238+R238)</x:f>
      </x:c>
    </x:row>
    <x:row r="239">
      <x:c r="A239" s="26"/>
      <x:c r="B239" s="26" t="str">
        <x:f>IF(A239="","",A239-MOD(WEEKDAY(A239,2)-5,7))</x:f>
      </x:c>
      <x:c r="C239" s="26" t="str">
        <x:f>IF(B239="","",B239+7)</x:f>
      </x:c>
      <x:c r="D239" t="str">
        <x:f>IF(A239="","",TEXT(A239,"dddd"))</x:f>
      </x:c>
      <x:c r="E239" s="24"/>
      <x:c r="F239" s="24"/>
      <x:c r="G239" s="32" t="n">
        <x:f>IF(AND(E239&lt;Settings!$B$11,F239&gt;Settings!$B$11),Settings!$B$12,0)</x:f>
        <x:v>0</x:v>
      </x:c>
      <x:c r="H239" s="32" t="n">
        <x:f>IF(AND(E239&lt;Settings!$B$13,F239&gt;Settings!$B$13),Settings!$B$14,0)</x:f>
        <x:v>0</x:v>
      </x:c>
      <x:c r="I239" s="32" t="str">
        <x:f>IF(A239="","",G239+H239)</x:f>
      </x:c>
      <x:c r="J239" s="22" t="str">
        <x:f>IF(A239="","",((F239-E239)*24)-(I239/60))</x:f>
      </x:c>
      <x:c r="K239" s="22" t="str">
        <x:f>IF(A239="","",MIN(J239,8))</x:f>
      </x:c>
      <x:c r="L239" s="22" t="str">
        <x:f>IF(A239="","",MAX(J239-8,0))</x:f>
      </x:c>
      <x:c r="M239" s="20" t="str">
        <x:f>IF(A239="","",K239*Settings!$B$5)</x:f>
      </x:c>
      <x:c r="N239" s="20" t="str">
        <x:f>IF(A239="","",L239*Settings!$B$6)</x:f>
      </x:c>
      <x:c r="O239" s="22"/>
      <x:c r="P239" s="22"/>
      <x:c r="Q239" s="22" t="str">
        <x:f>IF(A239="","",MAX(O239-Settings!$B$7,0))</x:f>
      </x:c>
      <x:c r="R239" s="20" t="str">
        <x:f>IF(A239="","",Q239*Settings!$B$8)</x:f>
      </x:c>
      <x:c r="S239" s="20" t="str">
        <x:f>IF(A239="","",M239+N239)</x:f>
      </x:c>
      <x:c r="T239" s="20" t="str">
        <x:f>IF(A239="","",S239+R239)</x:f>
      </x:c>
    </x:row>
    <x:row r="240">
      <x:c r="A240" s="26"/>
      <x:c r="B240" s="26" t="str">
        <x:f>IF(A240="","",A240-MOD(WEEKDAY(A240,2)-5,7))</x:f>
      </x:c>
      <x:c r="C240" s="26" t="str">
        <x:f>IF(B240="","",B240+7)</x:f>
      </x:c>
      <x:c r="D240" t="str">
        <x:f>IF(A240="","",TEXT(A240,"dddd"))</x:f>
      </x:c>
      <x:c r="E240" s="24"/>
      <x:c r="F240" s="24"/>
      <x:c r="G240" s="32" t="n">
        <x:f>IF(AND(E240&lt;Settings!$B$11,F240&gt;Settings!$B$11),Settings!$B$12,0)</x:f>
        <x:v>0</x:v>
      </x:c>
      <x:c r="H240" s="32" t="n">
        <x:f>IF(AND(E240&lt;Settings!$B$13,F240&gt;Settings!$B$13),Settings!$B$14,0)</x:f>
        <x:v>0</x:v>
      </x:c>
      <x:c r="I240" s="32" t="str">
        <x:f>IF(A240="","",G240+H240)</x:f>
      </x:c>
      <x:c r="J240" s="22" t="str">
        <x:f>IF(A240="","",((F240-E240)*24)-(I240/60))</x:f>
      </x:c>
      <x:c r="K240" s="22" t="str">
        <x:f>IF(A240="","",MIN(J240,8))</x:f>
      </x:c>
      <x:c r="L240" s="22" t="str">
        <x:f>IF(A240="","",MAX(J240-8,0))</x:f>
      </x:c>
      <x:c r="M240" s="20" t="str">
        <x:f>IF(A240="","",K240*Settings!$B$5)</x:f>
      </x:c>
      <x:c r="N240" s="20" t="str">
        <x:f>IF(A240="","",L240*Settings!$B$6)</x:f>
      </x:c>
      <x:c r="O240" s="22"/>
      <x:c r="P240" s="22"/>
      <x:c r="Q240" s="22" t="str">
        <x:f>IF(A240="","",MAX(O240-Settings!$B$7,0))</x:f>
      </x:c>
      <x:c r="R240" s="20" t="str">
        <x:f>IF(A240="","",Q240*Settings!$B$8)</x:f>
      </x:c>
      <x:c r="S240" s="20" t="str">
        <x:f>IF(A240="","",M240+N240)</x:f>
      </x:c>
      <x:c r="T240" s="20" t="str">
        <x:f>IF(A240="","",S240+R240)</x:f>
      </x:c>
    </x:row>
    <x:row r="241">
      <x:c r="A241" s="26"/>
      <x:c r="B241" s="26" t="str">
        <x:f>IF(A241="","",A241-MOD(WEEKDAY(A241,2)-5,7))</x:f>
      </x:c>
      <x:c r="C241" s="26" t="str">
        <x:f>IF(B241="","",B241+7)</x:f>
      </x:c>
      <x:c r="D241" t="str">
        <x:f>IF(A241="","",TEXT(A241,"dddd"))</x:f>
      </x:c>
      <x:c r="E241" s="24"/>
      <x:c r="F241" s="24"/>
      <x:c r="G241" s="32" t="n">
        <x:f>IF(AND(E241&lt;Settings!$B$11,F241&gt;Settings!$B$11),Settings!$B$12,0)</x:f>
        <x:v>0</x:v>
      </x:c>
      <x:c r="H241" s="32" t="n">
        <x:f>IF(AND(E241&lt;Settings!$B$13,F241&gt;Settings!$B$13),Settings!$B$14,0)</x:f>
        <x:v>0</x:v>
      </x:c>
      <x:c r="I241" s="32" t="str">
        <x:f>IF(A241="","",G241+H241)</x:f>
      </x:c>
      <x:c r="J241" s="22" t="str">
        <x:f>IF(A241="","",((F241-E241)*24)-(I241/60))</x:f>
      </x:c>
      <x:c r="K241" s="22" t="str">
        <x:f>IF(A241="","",MIN(J241,8))</x:f>
      </x:c>
      <x:c r="L241" s="22" t="str">
        <x:f>IF(A241="","",MAX(J241-8,0))</x:f>
      </x:c>
      <x:c r="M241" s="20" t="str">
        <x:f>IF(A241="","",K241*Settings!$B$5)</x:f>
      </x:c>
      <x:c r="N241" s="20" t="str">
        <x:f>IF(A241="","",L241*Settings!$B$6)</x:f>
      </x:c>
      <x:c r="O241" s="22"/>
      <x:c r="P241" s="22"/>
      <x:c r="Q241" s="22" t="str">
        <x:f>IF(A241="","",MAX(O241-Settings!$B$7,0))</x:f>
      </x:c>
      <x:c r="R241" s="20" t="str">
        <x:f>IF(A241="","",Q241*Settings!$B$8)</x:f>
      </x:c>
      <x:c r="S241" s="20" t="str">
        <x:f>IF(A241="","",M241+N241)</x:f>
      </x:c>
      <x:c r="T241" s="20" t="str">
        <x:f>IF(A241="","",S241+R241)</x:f>
      </x:c>
    </x:row>
    <x:row r="242">
      <x:c r="A242" s="26"/>
      <x:c r="B242" s="26" t="str">
        <x:f>IF(A242="","",A242-MOD(WEEKDAY(A242,2)-5,7))</x:f>
      </x:c>
      <x:c r="C242" s="26" t="str">
        <x:f>IF(B242="","",B242+7)</x:f>
      </x:c>
      <x:c r="D242" t="str">
        <x:f>IF(A242="","",TEXT(A242,"dddd"))</x:f>
      </x:c>
      <x:c r="E242" s="24"/>
      <x:c r="F242" s="24"/>
      <x:c r="G242" s="32" t="n">
        <x:f>IF(AND(E242&lt;Settings!$B$11,F242&gt;Settings!$B$11),Settings!$B$12,0)</x:f>
        <x:v>0</x:v>
      </x:c>
      <x:c r="H242" s="32" t="n">
        <x:f>IF(AND(E242&lt;Settings!$B$13,F242&gt;Settings!$B$13),Settings!$B$14,0)</x:f>
        <x:v>0</x:v>
      </x:c>
      <x:c r="I242" s="32" t="str">
        <x:f>IF(A242="","",G242+H242)</x:f>
      </x:c>
      <x:c r="J242" s="22" t="str">
        <x:f>IF(A242="","",((F242-E242)*24)-(I242/60))</x:f>
      </x:c>
      <x:c r="K242" s="22" t="str">
        <x:f>IF(A242="","",MIN(J242,8))</x:f>
      </x:c>
      <x:c r="L242" s="22" t="str">
        <x:f>IF(A242="","",MAX(J242-8,0))</x:f>
      </x:c>
      <x:c r="M242" s="20" t="str">
        <x:f>IF(A242="","",K242*Settings!$B$5)</x:f>
      </x:c>
      <x:c r="N242" s="20" t="str">
        <x:f>IF(A242="","",L242*Settings!$B$6)</x:f>
      </x:c>
      <x:c r="O242" s="22"/>
      <x:c r="P242" s="22"/>
      <x:c r="Q242" s="22" t="str">
        <x:f>IF(A242="","",MAX(O242-Settings!$B$7,0))</x:f>
      </x:c>
      <x:c r="R242" s="20" t="str">
        <x:f>IF(A242="","",Q242*Settings!$B$8)</x:f>
      </x:c>
      <x:c r="S242" s="20" t="str">
        <x:f>IF(A242="","",M242+N242)</x:f>
      </x:c>
      <x:c r="T242" s="20" t="str">
        <x:f>IF(A242="","",S242+R242)</x:f>
      </x:c>
    </x:row>
    <x:row r="243">
      <x:c r="A243" s="26"/>
      <x:c r="B243" s="26" t="str">
        <x:f>IF(A243="","",A243-MOD(WEEKDAY(A243,2)-5,7))</x:f>
      </x:c>
      <x:c r="C243" s="26" t="str">
        <x:f>IF(B243="","",B243+7)</x:f>
      </x:c>
      <x:c r="D243" t="str">
        <x:f>IF(A243="","",TEXT(A243,"dddd"))</x:f>
      </x:c>
      <x:c r="E243" s="24"/>
      <x:c r="F243" s="24"/>
      <x:c r="G243" s="32" t="n">
        <x:f>IF(AND(E243&lt;Settings!$B$11,F243&gt;Settings!$B$11),Settings!$B$12,0)</x:f>
        <x:v>0</x:v>
      </x:c>
      <x:c r="H243" s="32" t="n">
        <x:f>IF(AND(E243&lt;Settings!$B$13,F243&gt;Settings!$B$13),Settings!$B$14,0)</x:f>
        <x:v>0</x:v>
      </x:c>
      <x:c r="I243" s="32" t="str">
        <x:f>IF(A243="","",G243+H243)</x:f>
      </x:c>
      <x:c r="J243" s="22" t="str">
        <x:f>IF(A243="","",((F243-E243)*24)-(I243/60))</x:f>
      </x:c>
      <x:c r="K243" s="22" t="str">
        <x:f>IF(A243="","",MIN(J243,8))</x:f>
      </x:c>
      <x:c r="L243" s="22" t="str">
        <x:f>IF(A243="","",MAX(J243-8,0))</x:f>
      </x:c>
      <x:c r="M243" s="20" t="str">
        <x:f>IF(A243="","",K243*Settings!$B$5)</x:f>
      </x:c>
      <x:c r="N243" s="20" t="str">
        <x:f>IF(A243="","",L243*Settings!$B$6)</x:f>
      </x:c>
      <x:c r="O243" s="22"/>
      <x:c r="P243" s="22"/>
      <x:c r="Q243" s="22" t="str">
        <x:f>IF(A243="","",MAX(O243-Settings!$B$7,0))</x:f>
      </x:c>
      <x:c r="R243" s="20" t="str">
        <x:f>IF(A243="","",Q243*Settings!$B$8)</x:f>
      </x:c>
      <x:c r="S243" s="20" t="str">
        <x:f>IF(A243="","",M243+N243)</x:f>
      </x:c>
      <x:c r="T243" s="20" t="str">
        <x:f>IF(A243="","",S243+R243)</x:f>
      </x:c>
    </x:row>
    <x:row r="244">
      <x:c r="A244" s="26"/>
      <x:c r="B244" s="26" t="str">
        <x:f>IF(A244="","",A244-MOD(WEEKDAY(A244,2)-5,7))</x:f>
      </x:c>
      <x:c r="C244" s="26" t="str">
        <x:f>IF(B244="","",B244+7)</x:f>
      </x:c>
      <x:c r="D244" t="str">
        <x:f>IF(A244="","",TEXT(A244,"dddd"))</x:f>
      </x:c>
      <x:c r="E244" s="24"/>
      <x:c r="F244" s="24"/>
      <x:c r="G244" s="32" t="n">
        <x:f>IF(AND(E244&lt;Settings!$B$11,F244&gt;Settings!$B$11),Settings!$B$12,0)</x:f>
        <x:v>0</x:v>
      </x:c>
      <x:c r="H244" s="32" t="n">
        <x:f>IF(AND(E244&lt;Settings!$B$13,F244&gt;Settings!$B$13),Settings!$B$14,0)</x:f>
        <x:v>0</x:v>
      </x:c>
      <x:c r="I244" s="32" t="str">
        <x:f>IF(A244="","",G244+H244)</x:f>
      </x:c>
      <x:c r="J244" s="22" t="str">
        <x:f>IF(A244="","",((F244-E244)*24)-(I244/60))</x:f>
      </x:c>
      <x:c r="K244" s="22" t="str">
        <x:f>IF(A244="","",MIN(J244,8))</x:f>
      </x:c>
      <x:c r="L244" s="22" t="str">
        <x:f>IF(A244="","",MAX(J244-8,0))</x:f>
      </x:c>
      <x:c r="M244" s="20" t="str">
        <x:f>IF(A244="","",K244*Settings!$B$5)</x:f>
      </x:c>
      <x:c r="N244" s="20" t="str">
        <x:f>IF(A244="","",L244*Settings!$B$6)</x:f>
      </x:c>
      <x:c r="O244" s="22"/>
      <x:c r="P244" s="22"/>
      <x:c r="Q244" s="22" t="str">
        <x:f>IF(A244="","",MAX(O244-Settings!$B$7,0))</x:f>
      </x:c>
      <x:c r="R244" s="20" t="str">
        <x:f>IF(A244="","",Q244*Settings!$B$8)</x:f>
      </x:c>
      <x:c r="S244" s="20" t="str">
        <x:f>IF(A244="","",M244+N244)</x:f>
      </x:c>
      <x:c r="T244" s="20" t="str">
        <x:f>IF(A244="","",S244+R244)</x:f>
      </x:c>
    </x:row>
    <x:row r="245">
      <x:c r="A245" s="26"/>
      <x:c r="B245" s="26" t="str">
        <x:f>IF(A245="","",A245-MOD(WEEKDAY(A245,2)-5,7))</x:f>
      </x:c>
      <x:c r="C245" s="26" t="str">
        <x:f>IF(B245="","",B245+7)</x:f>
      </x:c>
      <x:c r="D245" t="str">
        <x:f>IF(A245="","",TEXT(A245,"dddd"))</x:f>
      </x:c>
      <x:c r="E245" s="24"/>
      <x:c r="F245" s="24"/>
      <x:c r="G245" s="32" t="n">
        <x:f>IF(AND(E245&lt;Settings!$B$11,F245&gt;Settings!$B$11),Settings!$B$12,0)</x:f>
        <x:v>0</x:v>
      </x:c>
      <x:c r="H245" s="32" t="n">
        <x:f>IF(AND(E245&lt;Settings!$B$13,F245&gt;Settings!$B$13),Settings!$B$14,0)</x:f>
        <x:v>0</x:v>
      </x:c>
      <x:c r="I245" s="32" t="str">
        <x:f>IF(A245="","",G245+H245)</x:f>
      </x:c>
      <x:c r="J245" s="22" t="str">
        <x:f>IF(A245="","",((F245-E245)*24)-(I245/60))</x:f>
      </x:c>
      <x:c r="K245" s="22" t="str">
        <x:f>IF(A245="","",MIN(J245,8))</x:f>
      </x:c>
      <x:c r="L245" s="22" t="str">
        <x:f>IF(A245="","",MAX(J245-8,0))</x:f>
      </x:c>
      <x:c r="M245" s="20" t="str">
        <x:f>IF(A245="","",K245*Settings!$B$5)</x:f>
      </x:c>
      <x:c r="N245" s="20" t="str">
        <x:f>IF(A245="","",L245*Settings!$B$6)</x:f>
      </x:c>
      <x:c r="O245" s="22"/>
      <x:c r="P245" s="22"/>
      <x:c r="Q245" s="22" t="str">
        <x:f>IF(A245="","",MAX(O245-Settings!$B$7,0))</x:f>
      </x:c>
      <x:c r="R245" s="20" t="str">
        <x:f>IF(A245="","",Q245*Settings!$B$8)</x:f>
      </x:c>
      <x:c r="S245" s="20" t="str">
        <x:f>IF(A245="","",M245+N245)</x:f>
      </x:c>
      <x:c r="T245" s="20" t="str">
        <x:f>IF(A245="","",S245+R245)</x:f>
      </x:c>
    </x:row>
    <x:row r="246">
      <x:c r="A246" s="26"/>
      <x:c r="B246" s="26" t="str">
        <x:f>IF(A246="","",A246-MOD(WEEKDAY(A246,2)-5,7))</x:f>
      </x:c>
      <x:c r="C246" s="26" t="str">
        <x:f>IF(B246="","",B246+7)</x:f>
      </x:c>
      <x:c r="D246" t="str">
        <x:f>IF(A246="","",TEXT(A246,"dddd"))</x:f>
      </x:c>
      <x:c r="E246" s="24"/>
      <x:c r="F246" s="24"/>
      <x:c r="G246" s="32" t="n">
        <x:f>IF(AND(E246&lt;Settings!$B$11,F246&gt;Settings!$B$11),Settings!$B$12,0)</x:f>
        <x:v>0</x:v>
      </x:c>
      <x:c r="H246" s="32" t="n">
        <x:f>IF(AND(E246&lt;Settings!$B$13,F246&gt;Settings!$B$13),Settings!$B$14,0)</x:f>
        <x:v>0</x:v>
      </x:c>
      <x:c r="I246" s="32" t="str">
        <x:f>IF(A246="","",G246+H246)</x:f>
      </x:c>
      <x:c r="J246" s="22" t="str">
        <x:f>IF(A246="","",((F246-E246)*24)-(I246/60))</x:f>
      </x:c>
      <x:c r="K246" s="22" t="str">
        <x:f>IF(A246="","",MIN(J246,8))</x:f>
      </x:c>
      <x:c r="L246" s="22" t="str">
        <x:f>IF(A246="","",MAX(J246-8,0))</x:f>
      </x:c>
      <x:c r="M246" s="20" t="str">
        <x:f>IF(A246="","",K246*Settings!$B$5)</x:f>
      </x:c>
      <x:c r="N246" s="20" t="str">
        <x:f>IF(A246="","",L246*Settings!$B$6)</x:f>
      </x:c>
      <x:c r="O246" s="22"/>
      <x:c r="P246" s="22"/>
      <x:c r="Q246" s="22" t="str">
        <x:f>IF(A246="","",MAX(O246-Settings!$B$7,0))</x:f>
      </x:c>
      <x:c r="R246" s="20" t="str">
        <x:f>IF(A246="","",Q246*Settings!$B$8)</x:f>
      </x:c>
      <x:c r="S246" s="20" t="str">
        <x:f>IF(A246="","",M246+N246)</x:f>
      </x:c>
      <x:c r="T246" s="20" t="str">
        <x:f>IF(A246="","",S246+R246)</x:f>
      </x:c>
    </x:row>
    <x:row r="247">
      <x:c r="A247" s="26"/>
      <x:c r="B247" s="26" t="str">
        <x:f>IF(A247="","",A247-MOD(WEEKDAY(A247,2)-5,7))</x:f>
      </x:c>
      <x:c r="C247" s="26" t="str">
        <x:f>IF(B247="","",B247+7)</x:f>
      </x:c>
      <x:c r="D247" t="str">
        <x:f>IF(A247="","",TEXT(A247,"dddd"))</x:f>
      </x:c>
      <x:c r="E247" s="24"/>
      <x:c r="F247" s="24"/>
      <x:c r="G247" s="32" t="n">
        <x:f>IF(AND(E247&lt;Settings!$B$11,F247&gt;Settings!$B$11),Settings!$B$12,0)</x:f>
        <x:v>0</x:v>
      </x:c>
      <x:c r="H247" s="32" t="n">
        <x:f>IF(AND(E247&lt;Settings!$B$13,F247&gt;Settings!$B$13),Settings!$B$14,0)</x:f>
        <x:v>0</x:v>
      </x:c>
      <x:c r="I247" s="32" t="str">
        <x:f>IF(A247="","",G247+H247)</x:f>
      </x:c>
      <x:c r="J247" s="22" t="str">
        <x:f>IF(A247="","",((F247-E247)*24)-(I247/60))</x:f>
      </x:c>
      <x:c r="K247" s="22" t="str">
        <x:f>IF(A247="","",MIN(J247,8))</x:f>
      </x:c>
      <x:c r="L247" s="22" t="str">
        <x:f>IF(A247="","",MAX(J247-8,0))</x:f>
      </x:c>
      <x:c r="M247" s="20" t="str">
        <x:f>IF(A247="","",K247*Settings!$B$5)</x:f>
      </x:c>
      <x:c r="N247" s="20" t="str">
        <x:f>IF(A247="","",L247*Settings!$B$6)</x:f>
      </x:c>
      <x:c r="O247" s="22"/>
      <x:c r="P247" s="22"/>
      <x:c r="Q247" s="22" t="str">
        <x:f>IF(A247="","",MAX(O247-Settings!$B$7,0))</x:f>
      </x:c>
      <x:c r="R247" s="20" t="str">
        <x:f>IF(A247="","",Q247*Settings!$B$8)</x:f>
      </x:c>
      <x:c r="S247" s="20" t="str">
        <x:f>IF(A247="","",M247+N247)</x:f>
      </x:c>
      <x:c r="T247" s="20" t="str">
        <x:f>IF(A247="","",S247+R247)</x:f>
      </x:c>
    </x:row>
    <x:row r="248">
      <x:c r="A248" s="26"/>
      <x:c r="B248" s="26" t="str">
        <x:f>IF(A248="","",A248-MOD(WEEKDAY(A248,2)-5,7))</x:f>
      </x:c>
      <x:c r="C248" s="26" t="str">
        <x:f>IF(B248="","",B248+7)</x:f>
      </x:c>
      <x:c r="D248" t="str">
        <x:f>IF(A248="","",TEXT(A248,"dddd"))</x:f>
      </x:c>
      <x:c r="E248" s="24"/>
      <x:c r="F248" s="24"/>
      <x:c r="G248" s="32" t="n">
        <x:f>IF(AND(E248&lt;Settings!$B$11,F248&gt;Settings!$B$11),Settings!$B$12,0)</x:f>
        <x:v>0</x:v>
      </x:c>
      <x:c r="H248" s="32" t="n">
        <x:f>IF(AND(E248&lt;Settings!$B$13,F248&gt;Settings!$B$13),Settings!$B$14,0)</x:f>
        <x:v>0</x:v>
      </x:c>
      <x:c r="I248" s="32" t="str">
        <x:f>IF(A248="","",G248+H248)</x:f>
      </x:c>
      <x:c r="J248" s="22" t="str">
        <x:f>IF(A248="","",((F248-E248)*24)-(I248/60))</x:f>
      </x:c>
      <x:c r="K248" s="22" t="str">
        <x:f>IF(A248="","",MIN(J248,8))</x:f>
      </x:c>
      <x:c r="L248" s="22" t="str">
        <x:f>IF(A248="","",MAX(J248-8,0))</x:f>
      </x:c>
      <x:c r="M248" s="20" t="str">
        <x:f>IF(A248="","",K248*Settings!$B$5)</x:f>
      </x:c>
      <x:c r="N248" s="20" t="str">
        <x:f>IF(A248="","",L248*Settings!$B$6)</x:f>
      </x:c>
      <x:c r="O248" s="22"/>
      <x:c r="P248" s="22"/>
      <x:c r="Q248" s="22" t="str">
        <x:f>IF(A248="","",MAX(O248-Settings!$B$7,0))</x:f>
      </x:c>
      <x:c r="R248" s="20" t="str">
        <x:f>IF(A248="","",Q248*Settings!$B$8)</x:f>
      </x:c>
      <x:c r="S248" s="20" t="str">
        <x:f>IF(A248="","",M248+N248)</x:f>
      </x:c>
      <x:c r="T248" s="20" t="str">
        <x:f>IF(A248="","",S248+R248)</x:f>
      </x:c>
    </x:row>
    <x:row r="249">
      <x:c r="A249" s="26"/>
      <x:c r="B249" s="26" t="str">
        <x:f>IF(A249="","",A249-MOD(WEEKDAY(A249,2)-5,7))</x:f>
      </x:c>
      <x:c r="C249" s="26" t="str">
        <x:f>IF(B249="","",B249+7)</x:f>
      </x:c>
      <x:c r="D249" t="str">
        <x:f>IF(A249="","",TEXT(A249,"dddd"))</x:f>
      </x:c>
      <x:c r="E249" s="24"/>
      <x:c r="F249" s="24"/>
      <x:c r="G249" s="32" t="n">
        <x:f>IF(AND(E249&lt;Settings!$B$11,F249&gt;Settings!$B$11),Settings!$B$12,0)</x:f>
        <x:v>0</x:v>
      </x:c>
      <x:c r="H249" s="32" t="n">
        <x:f>IF(AND(E249&lt;Settings!$B$13,F249&gt;Settings!$B$13),Settings!$B$14,0)</x:f>
        <x:v>0</x:v>
      </x:c>
      <x:c r="I249" s="32" t="str">
        <x:f>IF(A249="","",G249+H249)</x:f>
      </x:c>
      <x:c r="J249" s="22" t="str">
        <x:f>IF(A249="","",((F249-E249)*24)-(I249/60))</x:f>
      </x:c>
      <x:c r="K249" s="22" t="str">
        <x:f>IF(A249="","",MIN(J249,8))</x:f>
      </x:c>
      <x:c r="L249" s="22" t="str">
        <x:f>IF(A249="","",MAX(J249-8,0))</x:f>
      </x:c>
      <x:c r="M249" s="20" t="str">
        <x:f>IF(A249="","",K249*Settings!$B$5)</x:f>
      </x:c>
      <x:c r="N249" s="20" t="str">
        <x:f>IF(A249="","",L249*Settings!$B$6)</x:f>
      </x:c>
      <x:c r="O249" s="22"/>
      <x:c r="P249" s="22"/>
      <x:c r="Q249" s="22" t="str">
        <x:f>IF(A249="","",MAX(O249-Settings!$B$7,0))</x:f>
      </x:c>
      <x:c r="R249" s="20" t="str">
        <x:f>IF(A249="","",Q249*Settings!$B$8)</x:f>
      </x:c>
      <x:c r="S249" s="20" t="str">
        <x:f>IF(A249="","",M249+N249)</x:f>
      </x:c>
      <x:c r="T249" s="20" t="str">
        <x:f>IF(A249="","",S249+R249)</x:f>
      </x:c>
    </x:row>
    <x:row r="250">
      <x:c r="A250" s="26"/>
      <x:c r="B250" s="26" t="str">
        <x:f>IF(A250="","",A250-MOD(WEEKDAY(A250,2)-5,7))</x:f>
      </x:c>
      <x:c r="C250" s="26" t="str">
        <x:f>IF(B250="","",B250+7)</x:f>
      </x:c>
      <x:c r="D250" t="str">
        <x:f>IF(A250="","",TEXT(A250,"dddd"))</x:f>
      </x:c>
      <x:c r="E250" s="24"/>
      <x:c r="F250" s="24"/>
      <x:c r="G250" s="32" t="n">
        <x:f>IF(AND(E250&lt;Settings!$B$11,F250&gt;Settings!$B$11),Settings!$B$12,0)</x:f>
        <x:v>0</x:v>
      </x:c>
      <x:c r="H250" s="32" t="n">
        <x:f>IF(AND(E250&lt;Settings!$B$13,F250&gt;Settings!$B$13),Settings!$B$14,0)</x:f>
        <x:v>0</x:v>
      </x:c>
      <x:c r="I250" s="32" t="str">
        <x:f>IF(A250="","",G250+H250)</x:f>
      </x:c>
      <x:c r="J250" s="22" t="str">
        <x:f>IF(A250="","",((F250-E250)*24)-(I250/60))</x:f>
      </x:c>
      <x:c r="K250" s="22" t="str">
        <x:f>IF(A250="","",MIN(J250,8))</x:f>
      </x:c>
      <x:c r="L250" s="22" t="str">
        <x:f>IF(A250="","",MAX(J250-8,0))</x:f>
      </x:c>
      <x:c r="M250" s="20" t="str">
        <x:f>IF(A250="","",K250*Settings!$B$5)</x:f>
      </x:c>
      <x:c r="N250" s="20" t="str">
        <x:f>IF(A250="","",L250*Settings!$B$6)</x:f>
      </x:c>
      <x:c r="O250" s="22"/>
      <x:c r="P250" s="22"/>
      <x:c r="Q250" s="22" t="str">
        <x:f>IF(A250="","",MAX(O250-Settings!$B$7,0))</x:f>
      </x:c>
      <x:c r="R250" s="20" t="str">
        <x:f>IF(A250="","",Q250*Settings!$B$8)</x:f>
      </x:c>
      <x:c r="S250" s="20" t="str">
        <x:f>IF(A250="","",M250+N250)</x:f>
      </x:c>
      <x:c r="T250" s="20" t="str">
        <x:f>IF(A250="","",S250+R250)</x:f>
      </x:c>
    </x:row>
    <x:row r="251">
      <x:c r="A251" s="26"/>
      <x:c r="B251" s="26" t="str">
        <x:f>IF(A251="","",A251-MOD(WEEKDAY(A251,2)-5,7))</x:f>
      </x:c>
      <x:c r="C251" s="26" t="str">
        <x:f>IF(B251="","",B251+7)</x:f>
      </x:c>
      <x:c r="D251" t="str">
        <x:f>IF(A251="","",TEXT(A251,"dddd"))</x:f>
      </x:c>
      <x:c r="E251" s="24"/>
      <x:c r="F251" s="24"/>
      <x:c r="G251" s="32" t="n">
        <x:f>IF(AND(E251&lt;Settings!$B$11,F251&gt;Settings!$B$11),Settings!$B$12,0)</x:f>
        <x:v>0</x:v>
      </x:c>
      <x:c r="H251" s="32" t="n">
        <x:f>IF(AND(E251&lt;Settings!$B$13,F251&gt;Settings!$B$13),Settings!$B$14,0)</x:f>
        <x:v>0</x:v>
      </x:c>
      <x:c r="I251" s="32" t="str">
        <x:f>IF(A251="","",G251+H251)</x:f>
      </x:c>
      <x:c r="J251" s="22" t="str">
        <x:f>IF(A251="","",((F251-E251)*24)-(I251/60))</x:f>
      </x:c>
      <x:c r="K251" s="22" t="str">
        <x:f>IF(A251="","",MIN(J251,8))</x:f>
      </x:c>
      <x:c r="L251" s="22" t="str">
        <x:f>IF(A251="","",MAX(J251-8,0))</x:f>
      </x:c>
      <x:c r="M251" s="20" t="str">
        <x:f>IF(A251="","",K251*Settings!$B$5)</x:f>
      </x:c>
      <x:c r="N251" s="20" t="str">
        <x:f>IF(A251="","",L251*Settings!$B$6)</x:f>
      </x:c>
      <x:c r="O251" s="22"/>
      <x:c r="P251" s="22"/>
      <x:c r="Q251" s="22" t="str">
        <x:f>IF(A251="","",MAX(O251-Settings!$B$7,0))</x:f>
      </x:c>
      <x:c r="R251" s="20" t="str">
        <x:f>IF(A251="","",Q251*Settings!$B$8)</x:f>
      </x:c>
      <x:c r="S251" s="20" t="str">
        <x:f>IF(A251="","",M251+N251)</x:f>
      </x:c>
      <x:c r="T251" s="20" t="str">
        <x:f>IF(A251="","",S251+R251)</x:f>
      </x:c>
    </x:row>
    <x:row r="252">
      <x:c r="A252" s="26"/>
      <x:c r="B252" s="26" t="str">
        <x:f>IF(A252="","",A252-MOD(WEEKDAY(A252,2)-5,7))</x:f>
      </x:c>
      <x:c r="C252" s="26" t="str">
        <x:f>IF(B252="","",B252+7)</x:f>
      </x:c>
      <x:c r="D252" t="str">
        <x:f>IF(A252="","",TEXT(A252,"dddd"))</x:f>
      </x:c>
      <x:c r="E252" s="24"/>
      <x:c r="F252" s="24"/>
      <x:c r="G252" s="32" t="n">
        <x:f>IF(AND(E252&lt;Settings!$B$11,F252&gt;Settings!$B$11),Settings!$B$12,0)</x:f>
        <x:v>0</x:v>
      </x:c>
      <x:c r="H252" s="32" t="n">
        <x:f>IF(AND(E252&lt;Settings!$B$13,F252&gt;Settings!$B$13),Settings!$B$14,0)</x:f>
        <x:v>0</x:v>
      </x:c>
      <x:c r="I252" s="32" t="str">
        <x:f>IF(A252="","",G252+H252)</x:f>
      </x:c>
      <x:c r="J252" s="22" t="str">
        <x:f>IF(A252="","",((F252-E252)*24)-(I252/60))</x:f>
      </x:c>
      <x:c r="K252" s="22" t="str">
        <x:f>IF(A252="","",MIN(J252,8))</x:f>
      </x:c>
      <x:c r="L252" s="22" t="str">
        <x:f>IF(A252="","",MAX(J252-8,0))</x:f>
      </x:c>
      <x:c r="M252" s="20" t="str">
        <x:f>IF(A252="","",K252*Settings!$B$5)</x:f>
      </x:c>
      <x:c r="N252" s="20" t="str">
        <x:f>IF(A252="","",L252*Settings!$B$6)</x:f>
      </x:c>
      <x:c r="O252" s="22"/>
      <x:c r="P252" s="22"/>
      <x:c r="Q252" s="22" t="str">
        <x:f>IF(A252="","",MAX(O252-Settings!$B$7,0))</x:f>
      </x:c>
      <x:c r="R252" s="20" t="str">
        <x:f>IF(A252="","",Q252*Settings!$B$8)</x:f>
      </x:c>
      <x:c r="S252" s="20" t="str">
        <x:f>IF(A252="","",M252+N252)</x:f>
      </x:c>
      <x:c r="T252" s="20" t="str">
        <x:f>IF(A252="","",S252+R252)</x:f>
      </x:c>
    </x:row>
    <x:row r="253">
      <x:c r="A253" s="26"/>
      <x:c r="B253" s="26" t="str">
        <x:f>IF(A253="","",A253-MOD(WEEKDAY(A253,2)-5,7))</x:f>
      </x:c>
      <x:c r="C253" s="26" t="str">
        <x:f>IF(B253="","",B253+7)</x:f>
      </x:c>
      <x:c r="D253" t="str">
        <x:f>IF(A253="","",TEXT(A253,"dddd"))</x:f>
      </x:c>
      <x:c r="E253" s="24"/>
      <x:c r="F253" s="24"/>
      <x:c r="G253" s="32" t="n">
        <x:f>IF(AND(E253&lt;Settings!$B$11,F253&gt;Settings!$B$11),Settings!$B$12,0)</x:f>
        <x:v>0</x:v>
      </x:c>
      <x:c r="H253" s="32" t="n">
        <x:f>IF(AND(E253&lt;Settings!$B$13,F253&gt;Settings!$B$13),Settings!$B$14,0)</x:f>
        <x:v>0</x:v>
      </x:c>
      <x:c r="I253" s="32" t="str">
        <x:f>IF(A253="","",G253+H253)</x:f>
      </x:c>
      <x:c r="J253" s="22" t="str">
        <x:f>IF(A253="","",((F253-E253)*24)-(I253/60))</x:f>
      </x:c>
      <x:c r="K253" s="22" t="str">
        <x:f>IF(A253="","",MIN(J253,8))</x:f>
      </x:c>
      <x:c r="L253" s="22" t="str">
        <x:f>IF(A253="","",MAX(J253-8,0))</x:f>
      </x:c>
      <x:c r="M253" s="20" t="str">
        <x:f>IF(A253="","",K253*Settings!$B$5)</x:f>
      </x:c>
      <x:c r="N253" s="20" t="str">
        <x:f>IF(A253="","",L253*Settings!$B$6)</x:f>
      </x:c>
      <x:c r="O253" s="22"/>
      <x:c r="P253" s="22"/>
      <x:c r="Q253" s="22" t="str">
        <x:f>IF(A253="","",MAX(O253-Settings!$B$7,0))</x:f>
      </x:c>
      <x:c r="R253" s="20" t="str">
        <x:f>IF(A253="","",Q253*Settings!$B$8)</x:f>
      </x:c>
      <x:c r="S253" s="20" t="str">
        <x:f>IF(A253="","",M253+N253)</x:f>
      </x:c>
      <x:c r="T253" s="20" t="str">
        <x:f>IF(A253="","",S253+R253)</x:f>
      </x:c>
    </x:row>
    <x:row r="254">
      <x:c r="A254" s="26"/>
      <x:c r="B254" s="26" t="str">
        <x:f>IF(A254="","",A254-MOD(WEEKDAY(A254,2)-5,7))</x:f>
      </x:c>
      <x:c r="C254" s="26" t="str">
        <x:f>IF(B254="","",B254+7)</x:f>
      </x:c>
      <x:c r="D254" t="str">
        <x:f>IF(A254="","",TEXT(A254,"dddd"))</x:f>
      </x:c>
      <x:c r="E254" s="24"/>
      <x:c r="F254" s="24"/>
      <x:c r="G254" s="32" t="n">
        <x:f>IF(AND(E254&lt;Settings!$B$11,F254&gt;Settings!$B$11),Settings!$B$12,0)</x:f>
        <x:v>0</x:v>
      </x:c>
      <x:c r="H254" s="32" t="n">
        <x:f>IF(AND(E254&lt;Settings!$B$13,F254&gt;Settings!$B$13),Settings!$B$14,0)</x:f>
        <x:v>0</x:v>
      </x:c>
      <x:c r="I254" s="32" t="str">
        <x:f>IF(A254="","",G254+H254)</x:f>
      </x:c>
      <x:c r="J254" s="22" t="str">
        <x:f>IF(A254="","",((F254-E254)*24)-(I254/60))</x:f>
      </x:c>
      <x:c r="K254" s="22" t="str">
        <x:f>IF(A254="","",MIN(J254,8))</x:f>
      </x:c>
      <x:c r="L254" s="22" t="str">
        <x:f>IF(A254="","",MAX(J254-8,0))</x:f>
      </x:c>
      <x:c r="M254" s="20" t="str">
        <x:f>IF(A254="","",K254*Settings!$B$5)</x:f>
      </x:c>
      <x:c r="N254" s="20" t="str">
        <x:f>IF(A254="","",L254*Settings!$B$6)</x:f>
      </x:c>
      <x:c r="O254" s="22"/>
      <x:c r="P254" s="22"/>
      <x:c r="Q254" s="22" t="str">
        <x:f>IF(A254="","",MAX(O254-Settings!$B$7,0))</x:f>
      </x:c>
      <x:c r="R254" s="20" t="str">
        <x:f>IF(A254="","",Q254*Settings!$B$8)</x:f>
      </x:c>
      <x:c r="S254" s="20" t="str">
        <x:f>IF(A254="","",M254+N254)</x:f>
      </x:c>
      <x:c r="T254" s="20" t="str">
        <x:f>IF(A254="","",S254+R254)</x:f>
      </x:c>
    </x:row>
    <x:row r="255">
      <x:c r="A255" s="26"/>
      <x:c r="B255" s="26" t="str">
        <x:f>IF(A255="","",A255-MOD(WEEKDAY(A255,2)-5,7))</x:f>
      </x:c>
      <x:c r="C255" s="26" t="str">
        <x:f>IF(B255="","",B255+7)</x:f>
      </x:c>
      <x:c r="D255" t="str">
        <x:f>IF(A255="","",TEXT(A255,"dddd"))</x:f>
      </x:c>
      <x:c r="E255" s="24"/>
      <x:c r="F255" s="24"/>
      <x:c r="G255" s="32" t="n">
        <x:f>IF(AND(E255&lt;Settings!$B$11,F255&gt;Settings!$B$11),Settings!$B$12,0)</x:f>
        <x:v>0</x:v>
      </x:c>
      <x:c r="H255" s="32" t="n">
        <x:f>IF(AND(E255&lt;Settings!$B$13,F255&gt;Settings!$B$13),Settings!$B$14,0)</x:f>
        <x:v>0</x:v>
      </x:c>
      <x:c r="I255" s="32" t="str">
        <x:f>IF(A255="","",G255+H255)</x:f>
      </x:c>
      <x:c r="J255" s="22" t="str">
        <x:f>IF(A255="","",((F255-E255)*24)-(I255/60))</x:f>
      </x:c>
      <x:c r="K255" s="22" t="str">
        <x:f>IF(A255="","",MIN(J255,8))</x:f>
      </x:c>
      <x:c r="L255" s="22" t="str">
        <x:f>IF(A255="","",MAX(J255-8,0))</x:f>
      </x:c>
      <x:c r="M255" s="20" t="str">
        <x:f>IF(A255="","",K255*Settings!$B$5)</x:f>
      </x:c>
      <x:c r="N255" s="20" t="str">
        <x:f>IF(A255="","",L255*Settings!$B$6)</x:f>
      </x:c>
      <x:c r="O255" s="22"/>
      <x:c r="P255" s="22"/>
      <x:c r="Q255" s="22" t="str">
        <x:f>IF(A255="","",MAX(O255-Settings!$B$7,0))</x:f>
      </x:c>
      <x:c r="R255" s="20" t="str">
        <x:f>IF(A255="","",Q255*Settings!$B$8)</x:f>
      </x:c>
      <x:c r="S255" s="20" t="str">
        <x:f>IF(A255="","",M255+N255)</x:f>
      </x:c>
      <x:c r="T255" s="20" t="str">
        <x:f>IF(A255="","",S255+R255)</x:f>
      </x:c>
    </x:row>
    <x:row r="256">
      <x:c r="A256" s="26"/>
      <x:c r="B256" s="26" t="str">
        <x:f>IF(A256="","",A256-MOD(WEEKDAY(A256,2)-5,7))</x:f>
      </x:c>
      <x:c r="C256" s="26" t="str">
        <x:f>IF(B256="","",B256+7)</x:f>
      </x:c>
      <x:c r="D256" t="str">
        <x:f>IF(A256="","",TEXT(A256,"dddd"))</x:f>
      </x:c>
      <x:c r="E256" s="24"/>
      <x:c r="F256" s="24"/>
      <x:c r="G256" s="32" t="n">
        <x:f>IF(AND(E256&lt;Settings!$B$11,F256&gt;Settings!$B$11),Settings!$B$12,0)</x:f>
        <x:v>0</x:v>
      </x:c>
      <x:c r="H256" s="32" t="n">
        <x:f>IF(AND(E256&lt;Settings!$B$13,F256&gt;Settings!$B$13),Settings!$B$14,0)</x:f>
        <x:v>0</x:v>
      </x:c>
      <x:c r="I256" s="32" t="str">
        <x:f>IF(A256="","",G256+H256)</x:f>
      </x:c>
      <x:c r="J256" s="22" t="str">
        <x:f>IF(A256="","",((F256-E256)*24)-(I256/60))</x:f>
      </x:c>
      <x:c r="K256" s="22" t="str">
        <x:f>IF(A256="","",MIN(J256,8))</x:f>
      </x:c>
      <x:c r="L256" s="22" t="str">
        <x:f>IF(A256="","",MAX(J256-8,0))</x:f>
      </x:c>
      <x:c r="M256" s="20" t="str">
        <x:f>IF(A256="","",K256*Settings!$B$5)</x:f>
      </x:c>
      <x:c r="N256" s="20" t="str">
        <x:f>IF(A256="","",L256*Settings!$B$6)</x:f>
      </x:c>
      <x:c r="O256" s="22"/>
      <x:c r="P256" s="22"/>
      <x:c r="Q256" s="22" t="str">
        <x:f>IF(A256="","",MAX(O256-Settings!$B$7,0))</x:f>
      </x:c>
      <x:c r="R256" s="20" t="str">
        <x:f>IF(A256="","",Q256*Settings!$B$8)</x:f>
      </x:c>
      <x:c r="S256" s="20" t="str">
        <x:f>IF(A256="","",M256+N256)</x:f>
      </x:c>
      <x:c r="T256" s="20" t="str">
        <x:f>IF(A256="","",S256+R256)</x:f>
      </x:c>
    </x:row>
    <x:row r="257">
      <x:c r="A257" s="26"/>
      <x:c r="B257" s="26" t="str">
        <x:f>IF(A257="","",A257-MOD(WEEKDAY(A257,2)-5,7))</x:f>
      </x:c>
      <x:c r="C257" s="26" t="str">
        <x:f>IF(B257="","",B257+7)</x:f>
      </x:c>
      <x:c r="D257" t="str">
        <x:f>IF(A257="","",TEXT(A257,"dddd"))</x:f>
      </x:c>
      <x:c r="E257" s="24"/>
      <x:c r="F257" s="24"/>
      <x:c r="G257" s="32" t="n">
        <x:f>IF(AND(E257&lt;Settings!$B$11,F257&gt;Settings!$B$11),Settings!$B$12,0)</x:f>
        <x:v>0</x:v>
      </x:c>
      <x:c r="H257" s="32" t="n">
        <x:f>IF(AND(E257&lt;Settings!$B$13,F257&gt;Settings!$B$13),Settings!$B$14,0)</x:f>
        <x:v>0</x:v>
      </x:c>
      <x:c r="I257" s="32" t="str">
        <x:f>IF(A257="","",G257+H257)</x:f>
      </x:c>
      <x:c r="J257" s="22" t="str">
        <x:f>IF(A257="","",((F257-E257)*24)-(I257/60))</x:f>
      </x:c>
      <x:c r="K257" s="22" t="str">
        <x:f>IF(A257="","",MIN(J257,8))</x:f>
      </x:c>
      <x:c r="L257" s="22" t="str">
        <x:f>IF(A257="","",MAX(J257-8,0))</x:f>
      </x:c>
      <x:c r="M257" s="20" t="str">
        <x:f>IF(A257="","",K257*Settings!$B$5)</x:f>
      </x:c>
      <x:c r="N257" s="20" t="str">
        <x:f>IF(A257="","",L257*Settings!$B$6)</x:f>
      </x:c>
      <x:c r="O257" s="22"/>
      <x:c r="P257" s="22"/>
      <x:c r="Q257" s="22" t="str">
        <x:f>IF(A257="","",MAX(O257-Settings!$B$7,0))</x:f>
      </x:c>
      <x:c r="R257" s="20" t="str">
        <x:f>IF(A257="","",Q257*Settings!$B$8)</x:f>
      </x:c>
      <x:c r="S257" s="20" t="str">
        <x:f>IF(A257="","",M257+N257)</x:f>
      </x:c>
      <x:c r="T257" s="20" t="str">
        <x:f>IF(A257="","",S257+R257)</x:f>
      </x:c>
    </x:row>
    <x:row r="258">
      <x:c r="A258" s="26"/>
      <x:c r="B258" s="26" t="str">
        <x:f>IF(A258="","",A258-MOD(WEEKDAY(A258,2)-5,7))</x:f>
      </x:c>
      <x:c r="C258" s="26" t="str">
        <x:f>IF(B258="","",B258+7)</x:f>
      </x:c>
      <x:c r="D258" t="str">
        <x:f>IF(A258="","",TEXT(A258,"dddd"))</x:f>
      </x:c>
      <x:c r="E258" s="24"/>
      <x:c r="F258" s="24"/>
      <x:c r="G258" s="32" t="n">
        <x:f>IF(AND(E258&lt;Settings!$B$11,F258&gt;Settings!$B$11),Settings!$B$12,0)</x:f>
        <x:v>0</x:v>
      </x:c>
      <x:c r="H258" s="32" t="n">
        <x:f>IF(AND(E258&lt;Settings!$B$13,F258&gt;Settings!$B$13),Settings!$B$14,0)</x:f>
        <x:v>0</x:v>
      </x:c>
      <x:c r="I258" s="32" t="str">
        <x:f>IF(A258="","",G258+H258)</x:f>
      </x:c>
      <x:c r="J258" s="22" t="str">
        <x:f>IF(A258="","",((F258-E258)*24)-(I258/60))</x:f>
      </x:c>
      <x:c r="K258" s="22" t="str">
        <x:f>IF(A258="","",MIN(J258,8))</x:f>
      </x:c>
      <x:c r="L258" s="22" t="str">
        <x:f>IF(A258="","",MAX(J258-8,0))</x:f>
      </x:c>
      <x:c r="M258" s="20" t="str">
        <x:f>IF(A258="","",K258*Settings!$B$5)</x:f>
      </x:c>
      <x:c r="N258" s="20" t="str">
        <x:f>IF(A258="","",L258*Settings!$B$6)</x:f>
      </x:c>
      <x:c r="O258" s="22"/>
      <x:c r="P258" s="22"/>
      <x:c r="Q258" s="22" t="str">
        <x:f>IF(A258="","",MAX(O258-Settings!$B$7,0))</x:f>
      </x:c>
      <x:c r="R258" s="20" t="str">
        <x:f>IF(A258="","",Q258*Settings!$B$8)</x:f>
      </x:c>
      <x:c r="S258" s="20" t="str">
        <x:f>IF(A258="","",M258+N258)</x:f>
      </x:c>
      <x:c r="T258" s="20" t="str">
        <x:f>IF(A258="","",S258+R258)</x:f>
      </x:c>
    </x:row>
    <x:row r="259">
      <x:c r="A259" s="26"/>
      <x:c r="B259" s="26" t="str">
        <x:f>IF(A259="","",A259-MOD(WEEKDAY(A259,2)-5,7))</x:f>
      </x:c>
      <x:c r="C259" s="26" t="str">
        <x:f>IF(B259="","",B259+7)</x:f>
      </x:c>
      <x:c r="D259" t="str">
        <x:f>IF(A259="","",TEXT(A259,"dddd"))</x:f>
      </x:c>
      <x:c r="E259" s="24"/>
      <x:c r="F259" s="24"/>
      <x:c r="G259" s="32" t="n">
        <x:f>IF(AND(E259&lt;Settings!$B$11,F259&gt;Settings!$B$11),Settings!$B$12,0)</x:f>
        <x:v>0</x:v>
      </x:c>
      <x:c r="H259" s="32" t="n">
        <x:f>IF(AND(E259&lt;Settings!$B$13,F259&gt;Settings!$B$13),Settings!$B$14,0)</x:f>
        <x:v>0</x:v>
      </x:c>
      <x:c r="I259" s="32" t="str">
        <x:f>IF(A259="","",G259+H259)</x:f>
      </x:c>
      <x:c r="J259" s="22" t="str">
        <x:f>IF(A259="","",((F259-E259)*24)-(I259/60))</x:f>
      </x:c>
      <x:c r="K259" s="22" t="str">
        <x:f>IF(A259="","",MIN(J259,8))</x:f>
      </x:c>
      <x:c r="L259" s="22" t="str">
        <x:f>IF(A259="","",MAX(J259-8,0))</x:f>
      </x:c>
      <x:c r="M259" s="20" t="str">
        <x:f>IF(A259="","",K259*Settings!$B$5)</x:f>
      </x:c>
      <x:c r="N259" s="20" t="str">
        <x:f>IF(A259="","",L259*Settings!$B$6)</x:f>
      </x:c>
      <x:c r="O259" s="22"/>
      <x:c r="P259" s="22"/>
      <x:c r="Q259" s="22" t="str">
        <x:f>IF(A259="","",MAX(O259-Settings!$B$7,0))</x:f>
      </x:c>
      <x:c r="R259" s="20" t="str">
        <x:f>IF(A259="","",Q259*Settings!$B$8)</x:f>
      </x:c>
      <x:c r="S259" s="20" t="str">
        <x:f>IF(A259="","",M259+N259)</x:f>
      </x:c>
      <x:c r="T259" s="20" t="str">
        <x:f>IF(A259="","",S259+R259)</x:f>
      </x:c>
    </x:row>
    <x:row r="260">
      <x:c r="A260" s="26"/>
      <x:c r="B260" s="26" t="str">
        <x:f>IF(A260="","",A260-MOD(WEEKDAY(A260,2)-5,7))</x:f>
      </x:c>
      <x:c r="C260" s="26" t="str">
        <x:f>IF(B260="","",B260+7)</x:f>
      </x:c>
      <x:c r="D260" t="str">
        <x:f>IF(A260="","",TEXT(A260,"dddd"))</x:f>
      </x:c>
      <x:c r="E260" s="24"/>
      <x:c r="F260" s="24"/>
      <x:c r="G260" s="32" t="n">
        <x:f>IF(AND(E260&lt;Settings!$B$11,F260&gt;Settings!$B$11),Settings!$B$12,0)</x:f>
        <x:v>0</x:v>
      </x:c>
      <x:c r="H260" s="32" t="n">
        <x:f>IF(AND(E260&lt;Settings!$B$13,F260&gt;Settings!$B$13),Settings!$B$14,0)</x:f>
        <x:v>0</x:v>
      </x:c>
      <x:c r="I260" s="32" t="str">
        <x:f>IF(A260="","",G260+H260)</x:f>
      </x:c>
      <x:c r="J260" s="22" t="str">
        <x:f>IF(A260="","",((F260-E260)*24)-(I260/60))</x:f>
      </x:c>
      <x:c r="K260" s="22" t="str">
        <x:f>IF(A260="","",MIN(J260,8))</x:f>
      </x:c>
      <x:c r="L260" s="22" t="str">
        <x:f>IF(A260="","",MAX(J260-8,0))</x:f>
      </x:c>
      <x:c r="M260" s="20" t="str">
        <x:f>IF(A260="","",K260*Settings!$B$5)</x:f>
      </x:c>
      <x:c r="N260" s="20" t="str">
        <x:f>IF(A260="","",L260*Settings!$B$6)</x:f>
      </x:c>
      <x:c r="O260" s="22"/>
      <x:c r="P260" s="22"/>
      <x:c r="Q260" s="22" t="str">
        <x:f>IF(A260="","",MAX(O260-Settings!$B$7,0))</x:f>
      </x:c>
      <x:c r="R260" s="20" t="str">
        <x:f>IF(A260="","",Q260*Settings!$B$8)</x:f>
      </x:c>
      <x:c r="S260" s="20" t="str">
        <x:f>IF(A260="","",M260+N260)</x:f>
      </x:c>
      <x:c r="T260" s="20" t="str">
        <x:f>IF(A260="","",S260+R260)</x:f>
      </x:c>
    </x:row>
    <x:row r="261">
      <x:c r="A261" s="26"/>
      <x:c r="B261" s="26" t="str">
        <x:f>IF(A261="","",A261-MOD(WEEKDAY(A261,2)-5,7))</x:f>
      </x:c>
      <x:c r="C261" s="26" t="str">
        <x:f>IF(B261="","",B261+7)</x:f>
      </x:c>
      <x:c r="D261" t="str">
        <x:f>IF(A261="","",TEXT(A261,"dddd"))</x:f>
      </x:c>
      <x:c r="E261" s="24"/>
      <x:c r="F261" s="24"/>
      <x:c r="G261" s="32" t="n">
        <x:f>IF(AND(E261&lt;Settings!$B$11,F261&gt;Settings!$B$11),Settings!$B$12,0)</x:f>
        <x:v>0</x:v>
      </x:c>
      <x:c r="H261" s="32" t="n">
        <x:f>IF(AND(E261&lt;Settings!$B$13,F261&gt;Settings!$B$13),Settings!$B$14,0)</x:f>
        <x:v>0</x:v>
      </x:c>
      <x:c r="I261" s="32" t="str">
        <x:f>IF(A261="","",G261+H261)</x:f>
      </x:c>
      <x:c r="J261" s="22" t="str">
        <x:f>IF(A261="","",((F261-E261)*24)-(I261/60))</x:f>
      </x:c>
      <x:c r="K261" s="22" t="str">
        <x:f>IF(A261="","",MIN(J261,8))</x:f>
      </x:c>
      <x:c r="L261" s="22" t="str">
        <x:f>IF(A261="","",MAX(J261-8,0))</x:f>
      </x:c>
      <x:c r="M261" s="20" t="str">
        <x:f>IF(A261="","",K261*Settings!$B$5)</x:f>
      </x:c>
      <x:c r="N261" s="20" t="str">
        <x:f>IF(A261="","",L261*Settings!$B$6)</x:f>
      </x:c>
      <x:c r="O261" s="22"/>
      <x:c r="P261" s="22"/>
      <x:c r="Q261" s="22" t="str">
        <x:f>IF(A261="","",MAX(O261-Settings!$B$7,0))</x:f>
      </x:c>
      <x:c r="R261" s="20" t="str">
        <x:f>IF(A261="","",Q261*Settings!$B$8)</x:f>
      </x:c>
      <x:c r="S261" s="20" t="str">
        <x:f>IF(A261="","",M261+N261)</x:f>
      </x:c>
      <x:c r="T261" s="20" t="str">
        <x:f>IF(A261="","",S261+R261)</x:f>
      </x:c>
    </x:row>
    <x:row r="262">
      <x:c r="A262" s="26"/>
      <x:c r="B262" s="26" t="str">
        <x:f>IF(A262="","",A262-MOD(WEEKDAY(A262,2)-5,7))</x:f>
      </x:c>
      <x:c r="C262" s="26" t="str">
        <x:f>IF(B262="","",B262+7)</x:f>
      </x:c>
      <x:c r="D262" t="str">
        <x:f>IF(A262="","",TEXT(A262,"dddd"))</x:f>
      </x:c>
      <x:c r="E262" s="24"/>
      <x:c r="F262" s="24"/>
      <x:c r="G262" s="32" t="n">
        <x:f>IF(AND(E262&lt;Settings!$B$11,F262&gt;Settings!$B$11),Settings!$B$12,0)</x:f>
        <x:v>0</x:v>
      </x:c>
      <x:c r="H262" s="32" t="n">
        <x:f>IF(AND(E262&lt;Settings!$B$13,F262&gt;Settings!$B$13),Settings!$B$14,0)</x:f>
        <x:v>0</x:v>
      </x:c>
      <x:c r="I262" s="32" t="str">
        <x:f>IF(A262="","",G262+H262)</x:f>
      </x:c>
      <x:c r="J262" s="22" t="str">
        <x:f>IF(A262="","",((F262-E262)*24)-(I262/60))</x:f>
      </x:c>
      <x:c r="K262" s="22" t="str">
        <x:f>IF(A262="","",MIN(J262,8))</x:f>
      </x:c>
      <x:c r="L262" s="22" t="str">
        <x:f>IF(A262="","",MAX(J262-8,0))</x:f>
      </x:c>
      <x:c r="M262" s="20" t="str">
        <x:f>IF(A262="","",K262*Settings!$B$5)</x:f>
      </x:c>
      <x:c r="N262" s="20" t="str">
        <x:f>IF(A262="","",L262*Settings!$B$6)</x:f>
      </x:c>
      <x:c r="O262" s="22"/>
      <x:c r="P262" s="22"/>
      <x:c r="Q262" s="22" t="str">
        <x:f>IF(A262="","",MAX(O262-Settings!$B$7,0))</x:f>
      </x:c>
      <x:c r="R262" s="20" t="str">
        <x:f>IF(A262="","",Q262*Settings!$B$8)</x:f>
      </x:c>
      <x:c r="S262" s="20" t="str">
        <x:f>IF(A262="","",M262+N262)</x:f>
      </x:c>
      <x:c r="T262" s="20" t="str">
        <x:f>IF(A262="","",S262+R262)</x:f>
      </x:c>
    </x:row>
    <x:row r="263">
      <x:c r="A263" s="26"/>
      <x:c r="B263" s="26" t="str">
        <x:f>IF(A263="","",A263-MOD(WEEKDAY(A263,2)-5,7))</x:f>
      </x:c>
      <x:c r="C263" s="26" t="str">
        <x:f>IF(B263="","",B263+7)</x:f>
      </x:c>
      <x:c r="D263" t="str">
        <x:f>IF(A263="","",TEXT(A263,"dddd"))</x:f>
      </x:c>
      <x:c r="E263" s="24"/>
      <x:c r="F263" s="24"/>
      <x:c r="G263" s="32" t="n">
        <x:f>IF(AND(E263&lt;Settings!$B$11,F263&gt;Settings!$B$11),Settings!$B$12,0)</x:f>
        <x:v>0</x:v>
      </x:c>
      <x:c r="H263" s="32" t="n">
        <x:f>IF(AND(E263&lt;Settings!$B$13,F263&gt;Settings!$B$13),Settings!$B$14,0)</x:f>
        <x:v>0</x:v>
      </x:c>
      <x:c r="I263" s="32" t="str">
        <x:f>IF(A263="","",G263+H263)</x:f>
      </x:c>
      <x:c r="J263" s="22" t="str">
        <x:f>IF(A263="","",((F263-E263)*24)-(I263/60))</x:f>
      </x:c>
      <x:c r="K263" s="22" t="str">
        <x:f>IF(A263="","",MIN(J263,8))</x:f>
      </x:c>
      <x:c r="L263" s="22" t="str">
        <x:f>IF(A263="","",MAX(J263-8,0))</x:f>
      </x:c>
      <x:c r="M263" s="20" t="str">
        <x:f>IF(A263="","",K263*Settings!$B$5)</x:f>
      </x:c>
      <x:c r="N263" s="20" t="str">
        <x:f>IF(A263="","",L263*Settings!$B$6)</x:f>
      </x:c>
      <x:c r="O263" s="22"/>
      <x:c r="P263" s="22"/>
      <x:c r="Q263" s="22" t="str">
        <x:f>IF(A263="","",MAX(O263-Settings!$B$7,0))</x:f>
      </x:c>
      <x:c r="R263" s="20" t="str">
        <x:f>IF(A263="","",Q263*Settings!$B$8)</x:f>
      </x:c>
      <x:c r="S263" s="20" t="str">
        <x:f>IF(A263="","",M263+N263)</x:f>
      </x:c>
      <x:c r="T263" s="20" t="str">
        <x:f>IF(A263="","",S263+R263)</x:f>
      </x:c>
    </x:row>
    <x:row r="264">
      <x:c r="A264" s="26"/>
      <x:c r="B264" s="26" t="str">
        <x:f>IF(A264="","",A264-MOD(WEEKDAY(A264,2)-5,7))</x:f>
      </x:c>
      <x:c r="C264" s="26" t="str">
        <x:f>IF(B264="","",B264+7)</x:f>
      </x:c>
      <x:c r="D264" t="str">
        <x:f>IF(A264="","",TEXT(A264,"dddd"))</x:f>
      </x:c>
      <x:c r="E264" s="24"/>
      <x:c r="F264" s="24"/>
      <x:c r="G264" s="32" t="n">
        <x:f>IF(AND(E264&lt;Settings!$B$11,F264&gt;Settings!$B$11),Settings!$B$12,0)</x:f>
        <x:v>0</x:v>
      </x:c>
      <x:c r="H264" s="32" t="n">
        <x:f>IF(AND(E264&lt;Settings!$B$13,F264&gt;Settings!$B$13),Settings!$B$14,0)</x:f>
        <x:v>0</x:v>
      </x:c>
      <x:c r="I264" s="32" t="str">
        <x:f>IF(A264="","",G264+H264)</x:f>
      </x:c>
      <x:c r="J264" s="22" t="str">
        <x:f>IF(A264="","",((F264-E264)*24)-(I264/60))</x:f>
      </x:c>
      <x:c r="K264" s="22" t="str">
        <x:f>IF(A264="","",MIN(J264,8))</x:f>
      </x:c>
      <x:c r="L264" s="22" t="str">
        <x:f>IF(A264="","",MAX(J264-8,0))</x:f>
      </x:c>
      <x:c r="M264" s="20" t="str">
        <x:f>IF(A264="","",K264*Settings!$B$5)</x:f>
      </x:c>
      <x:c r="N264" s="20" t="str">
        <x:f>IF(A264="","",L264*Settings!$B$6)</x:f>
      </x:c>
      <x:c r="O264" s="22"/>
      <x:c r="P264" s="22"/>
      <x:c r="Q264" s="22" t="str">
        <x:f>IF(A264="","",MAX(O264-Settings!$B$7,0))</x:f>
      </x:c>
      <x:c r="R264" s="20" t="str">
        <x:f>IF(A264="","",Q264*Settings!$B$8)</x:f>
      </x:c>
      <x:c r="S264" s="20" t="str">
        <x:f>IF(A264="","",M264+N264)</x:f>
      </x:c>
      <x:c r="T264" s="20" t="str">
        <x:f>IF(A264="","",S264+R264)</x:f>
      </x:c>
    </x:row>
    <x:row r="265">
      <x:c r="A265" s="26"/>
      <x:c r="B265" s="26" t="str">
        <x:f>IF(A265="","",A265-MOD(WEEKDAY(A265,2)-5,7))</x:f>
      </x:c>
      <x:c r="C265" s="26" t="str">
        <x:f>IF(B265="","",B265+7)</x:f>
      </x:c>
      <x:c r="D265" t="str">
        <x:f>IF(A265="","",TEXT(A265,"dddd"))</x:f>
      </x:c>
      <x:c r="E265" s="24"/>
      <x:c r="F265" s="24"/>
      <x:c r="G265" s="32" t="n">
        <x:f>IF(AND(E265&lt;Settings!$B$11,F265&gt;Settings!$B$11),Settings!$B$12,0)</x:f>
        <x:v>0</x:v>
      </x:c>
      <x:c r="H265" s="32" t="n">
        <x:f>IF(AND(E265&lt;Settings!$B$13,F265&gt;Settings!$B$13),Settings!$B$14,0)</x:f>
        <x:v>0</x:v>
      </x:c>
      <x:c r="I265" s="32" t="str">
        <x:f>IF(A265="","",G265+H265)</x:f>
      </x:c>
      <x:c r="J265" s="22" t="str">
        <x:f>IF(A265="","",((F265-E265)*24)-(I265/60))</x:f>
      </x:c>
      <x:c r="K265" s="22" t="str">
        <x:f>IF(A265="","",MIN(J265,8))</x:f>
      </x:c>
      <x:c r="L265" s="22" t="str">
        <x:f>IF(A265="","",MAX(J265-8,0))</x:f>
      </x:c>
      <x:c r="M265" s="20" t="str">
        <x:f>IF(A265="","",K265*Settings!$B$5)</x:f>
      </x:c>
      <x:c r="N265" s="20" t="str">
        <x:f>IF(A265="","",L265*Settings!$B$6)</x:f>
      </x:c>
      <x:c r="O265" s="22"/>
      <x:c r="P265" s="22"/>
      <x:c r="Q265" s="22" t="str">
        <x:f>IF(A265="","",MAX(O265-Settings!$B$7,0))</x:f>
      </x:c>
      <x:c r="R265" s="20" t="str">
        <x:f>IF(A265="","",Q265*Settings!$B$8)</x:f>
      </x:c>
      <x:c r="S265" s="20" t="str">
        <x:f>IF(A265="","",M265+N265)</x:f>
      </x:c>
      <x:c r="T265" s="20" t="str">
        <x:f>IF(A265="","",S265+R265)</x:f>
      </x:c>
    </x:row>
    <x:row r="266">
      <x:c r="A266" s="26"/>
      <x:c r="B266" s="26" t="str">
        <x:f>IF(A266="","",A266-MOD(WEEKDAY(A266,2)-5,7))</x:f>
      </x:c>
      <x:c r="C266" s="26" t="str">
        <x:f>IF(B266="","",B266+7)</x:f>
      </x:c>
      <x:c r="D266" t="str">
        <x:f>IF(A266="","",TEXT(A266,"dddd"))</x:f>
      </x:c>
      <x:c r="E266" s="24"/>
      <x:c r="F266" s="24"/>
      <x:c r="G266" s="32" t="n">
        <x:f>IF(AND(E266&lt;Settings!$B$11,F266&gt;Settings!$B$11),Settings!$B$12,0)</x:f>
        <x:v>0</x:v>
      </x:c>
      <x:c r="H266" s="32" t="n">
        <x:f>IF(AND(E266&lt;Settings!$B$13,F266&gt;Settings!$B$13),Settings!$B$14,0)</x:f>
        <x:v>0</x:v>
      </x:c>
      <x:c r="I266" s="32" t="str">
        <x:f>IF(A266="","",G266+H266)</x:f>
      </x:c>
      <x:c r="J266" s="22" t="str">
        <x:f>IF(A266="","",((F266-E266)*24)-(I266/60))</x:f>
      </x:c>
      <x:c r="K266" s="22" t="str">
        <x:f>IF(A266="","",MIN(J266,8))</x:f>
      </x:c>
      <x:c r="L266" s="22" t="str">
        <x:f>IF(A266="","",MAX(J266-8,0))</x:f>
      </x:c>
      <x:c r="M266" s="20" t="str">
        <x:f>IF(A266="","",K266*Settings!$B$5)</x:f>
      </x:c>
      <x:c r="N266" s="20" t="str">
        <x:f>IF(A266="","",L266*Settings!$B$6)</x:f>
      </x:c>
      <x:c r="O266" s="22"/>
      <x:c r="P266" s="22"/>
      <x:c r="Q266" s="22" t="str">
        <x:f>IF(A266="","",MAX(O266-Settings!$B$7,0))</x:f>
      </x:c>
      <x:c r="R266" s="20" t="str">
        <x:f>IF(A266="","",Q266*Settings!$B$8)</x:f>
      </x:c>
      <x:c r="S266" s="20" t="str">
        <x:f>IF(A266="","",M266+N266)</x:f>
      </x:c>
      <x:c r="T266" s="20" t="str">
        <x:f>IF(A266="","",S266+R266)</x:f>
      </x:c>
    </x:row>
    <x:row r="267">
      <x:c r="A267" s="26"/>
      <x:c r="B267" s="26" t="str">
        <x:f>IF(A267="","",A267-MOD(WEEKDAY(A267,2)-5,7))</x:f>
      </x:c>
      <x:c r="C267" s="26" t="str">
        <x:f>IF(B267="","",B267+7)</x:f>
      </x:c>
      <x:c r="D267" t="str">
        <x:f>IF(A267="","",TEXT(A267,"dddd"))</x:f>
      </x:c>
      <x:c r="E267" s="24"/>
      <x:c r="F267" s="24"/>
      <x:c r="G267" s="32" t="n">
        <x:f>IF(AND(E267&lt;Settings!$B$11,F267&gt;Settings!$B$11),Settings!$B$12,0)</x:f>
        <x:v>0</x:v>
      </x:c>
      <x:c r="H267" s="32" t="n">
        <x:f>IF(AND(E267&lt;Settings!$B$13,F267&gt;Settings!$B$13),Settings!$B$14,0)</x:f>
        <x:v>0</x:v>
      </x:c>
      <x:c r="I267" s="32" t="str">
        <x:f>IF(A267="","",G267+H267)</x:f>
      </x:c>
      <x:c r="J267" s="22" t="str">
        <x:f>IF(A267="","",((F267-E267)*24)-(I267/60))</x:f>
      </x:c>
      <x:c r="K267" s="22" t="str">
        <x:f>IF(A267="","",MIN(J267,8))</x:f>
      </x:c>
      <x:c r="L267" s="22" t="str">
        <x:f>IF(A267="","",MAX(J267-8,0))</x:f>
      </x:c>
      <x:c r="M267" s="20" t="str">
        <x:f>IF(A267="","",K267*Settings!$B$5)</x:f>
      </x:c>
      <x:c r="N267" s="20" t="str">
        <x:f>IF(A267="","",L267*Settings!$B$6)</x:f>
      </x:c>
      <x:c r="O267" s="22"/>
      <x:c r="P267" s="22"/>
      <x:c r="Q267" s="22" t="str">
        <x:f>IF(A267="","",MAX(O267-Settings!$B$7,0))</x:f>
      </x:c>
      <x:c r="R267" s="20" t="str">
        <x:f>IF(A267="","",Q267*Settings!$B$8)</x:f>
      </x:c>
      <x:c r="S267" s="20" t="str">
        <x:f>IF(A267="","",M267+N267)</x:f>
      </x:c>
      <x:c r="T267" s="20" t="str">
        <x:f>IF(A267="","",S267+R267)</x:f>
      </x:c>
    </x:row>
    <x:row r="268">
      <x:c r="A268" s="26"/>
      <x:c r="B268" s="26" t="str">
        <x:f>IF(A268="","",A268-MOD(WEEKDAY(A268,2)-5,7))</x:f>
      </x:c>
      <x:c r="C268" s="26" t="str">
        <x:f>IF(B268="","",B268+7)</x:f>
      </x:c>
      <x:c r="D268" t="str">
        <x:f>IF(A268="","",TEXT(A268,"dddd"))</x:f>
      </x:c>
      <x:c r="E268" s="24"/>
      <x:c r="F268" s="24"/>
      <x:c r="G268" s="32" t="n">
        <x:f>IF(AND(E268&lt;Settings!$B$11,F268&gt;Settings!$B$11),Settings!$B$12,0)</x:f>
        <x:v>0</x:v>
      </x:c>
      <x:c r="H268" s="32" t="n">
        <x:f>IF(AND(E268&lt;Settings!$B$13,F268&gt;Settings!$B$13),Settings!$B$14,0)</x:f>
        <x:v>0</x:v>
      </x:c>
      <x:c r="I268" s="32" t="str">
        <x:f>IF(A268="","",G268+H268)</x:f>
      </x:c>
      <x:c r="J268" s="22" t="str">
        <x:f>IF(A268="","",((F268-E268)*24)-(I268/60))</x:f>
      </x:c>
      <x:c r="K268" s="22" t="str">
        <x:f>IF(A268="","",MIN(J268,8))</x:f>
      </x:c>
      <x:c r="L268" s="22" t="str">
        <x:f>IF(A268="","",MAX(J268-8,0))</x:f>
      </x:c>
      <x:c r="M268" s="20" t="str">
        <x:f>IF(A268="","",K268*Settings!$B$5)</x:f>
      </x:c>
      <x:c r="N268" s="20" t="str">
        <x:f>IF(A268="","",L268*Settings!$B$6)</x:f>
      </x:c>
      <x:c r="O268" s="22"/>
      <x:c r="P268" s="22"/>
      <x:c r="Q268" s="22" t="str">
        <x:f>IF(A268="","",MAX(O268-Settings!$B$7,0))</x:f>
      </x:c>
      <x:c r="R268" s="20" t="str">
        <x:f>IF(A268="","",Q268*Settings!$B$8)</x:f>
      </x:c>
      <x:c r="S268" s="20" t="str">
        <x:f>IF(A268="","",M268+N268)</x:f>
      </x:c>
      <x:c r="T268" s="20" t="str">
        <x:f>IF(A268="","",S268+R268)</x:f>
      </x:c>
    </x:row>
    <x:row r="269">
      <x:c r="A269" s="26"/>
      <x:c r="B269" s="26" t="str">
        <x:f>IF(A269="","",A269-MOD(WEEKDAY(A269,2)-5,7))</x:f>
      </x:c>
      <x:c r="C269" s="26" t="str">
        <x:f>IF(B269="","",B269+7)</x:f>
      </x:c>
      <x:c r="D269" t="str">
        <x:f>IF(A269="","",TEXT(A269,"dddd"))</x:f>
      </x:c>
      <x:c r="E269" s="24"/>
      <x:c r="F269" s="24"/>
      <x:c r="G269" s="32" t="n">
        <x:f>IF(AND(E269&lt;Settings!$B$11,F269&gt;Settings!$B$11),Settings!$B$12,0)</x:f>
        <x:v>0</x:v>
      </x:c>
      <x:c r="H269" s="32" t="n">
        <x:f>IF(AND(E269&lt;Settings!$B$13,F269&gt;Settings!$B$13),Settings!$B$14,0)</x:f>
        <x:v>0</x:v>
      </x:c>
      <x:c r="I269" s="32" t="str">
        <x:f>IF(A269="","",G269+H269)</x:f>
      </x:c>
      <x:c r="J269" s="22" t="str">
        <x:f>IF(A269="","",((F269-E269)*24)-(I269/60))</x:f>
      </x:c>
      <x:c r="K269" s="22" t="str">
        <x:f>IF(A269="","",MIN(J269,8))</x:f>
      </x:c>
      <x:c r="L269" s="22" t="str">
        <x:f>IF(A269="","",MAX(J269-8,0))</x:f>
      </x:c>
      <x:c r="M269" s="20" t="str">
        <x:f>IF(A269="","",K269*Settings!$B$5)</x:f>
      </x:c>
      <x:c r="N269" s="20" t="str">
        <x:f>IF(A269="","",L269*Settings!$B$6)</x:f>
      </x:c>
      <x:c r="O269" s="22"/>
      <x:c r="P269" s="22"/>
      <x:c r="Q269" s="22" t="str">
        <x:f>IF(A269="","",MAX(O269-Settings!$B$7,0))</x:f>
      </x:c>
      <x:c r="R269" s="20" t="str">
        <x:f>IF(A269="","",Q269*Settings!$B$8)</x:f>
      </x:c>
      <x:c r="S269" s="20" t="str">
        <x:f>IF(A269="","",M269+N269)</x:f>
      </x:c>
      <x:c r="T269" s="20" t="str">
        <x:f>IF(A269="","",S269+R269)</x:f>
      </x:c>
    </x:row>
    <x:row r="270">
      <x:c r="A270" s="26"/>
      <x:c r="B270" s="26" t="str">
        <x:f>IF(A270="","",A270-MOD(WEEKDAY(A270,2)-5,7))</x:f>
      </x:c>
      <x:c r="C270" s="26" t="str">
        <x:f>IF(B270="","",B270+7)</x:f>
      </x:c>
      <x:c r="D270" t="str">
        <x:f>IF(A270="","",TEXT(A270,"dddd"))</x:f>
      </x:c>
      <x:c r="E270" s="24"/>
      <x:c r="F270" s="24"/>
      <x:c r="G270" s="32" t="n">
        <x:f>IF(AND(E270&lt;Settings!$B$11,F270&gt;Settings!$B$11),Settings!$B$12,0)</x:f>
        <x:v>0</x:v>
      </x:c>
      <x:c r="H270" s="32" t="n">
        <x:f>IF(AND(E270&lt;Settings!$B$13,F270&gt;Settings!$B$13),Settings!$B$14,0)</x:f>
        <x:v>0</x:v>
      </x:c>
      <x:c r="I270" s="32" t="str">
        <x:f>IF(A270="","",G270+H270)</x:f>
      </x:c>
      <x:c r="J270" s="22" t="str">
        <x:f>IF(A270="","",((F270-E270)*24)-(I270/60))</x:f>
      </x:c>
      <x:c r="K270" s="22" t="str">
        <x:f>IF(A270="","",MIN(J270,8))</x:f>
      </x:c>
      <x:c r="L270" s="22" t="str">
        <x:f>IF(A270="","",MAX(J270-8,0))</x:f>
      </x:c>
      <x:c r="M270" s="20" t="str">
        <x:f>IF(A270="","",K270*Settings!$B$5)</x:f>
      </x:c>
      <x:c r="N270" s="20" t="str">
        <x:f>IF(A270="","",L270*Settings!$B$6)</x:f>
      </x:c>
      <x:c r="O270" s="22"/>
      <x:c r="P270" s="22"/>
      <x:c r="Q270" s="22" t="str">
        <x:f>IF(A270="","",MAX(O270-Settings!$B$7,0))</x:f>
      </x:c>
      <x:c r="R270" s="20" t="str">
        <x:f>IF(A270="","",Q270*Settings!$B$8)</x:f>
      </x:c>
      <x:c r="S270" s="20" t="str">
        <x:f>IF(A270="","",M270+N270)</x:f>
      </x:c>
      <x:c r="T270" s="20" t="str">
        <x:f>IF(A270="","",S270+R270)</x:f>
      </x:c>
    </x:row>
    <x:row r="271">
      <x:c r="A271" s="26"/>
      <x:c r="B271" s="26" t="str">
        <x:f>IF(A271="","",A271-MOD(WEEKDAY(A271,2)-5,7))</x:f>
      </x:c>
      <x:c r="C271" s="26" t="str">
        <x:f>IF(B271="","",B271+7)</x:f>
      </x:c>
      <x:c r="D271" t="str">
        <x:f>IF(A271="","",TEXT(A271,"dddd"))</x:f>
      </x:c>
      <x:c r="E271" s="24"/>
      <x:c r="F271" s="24"/>
      <x:c r="G271" s="32" t="n">
        <x:f>IF(AND(E271&lt;Settings!$B$11,F271&gt;Settings!$B$11),Settings!$B$12,0)</x:f>
        <x:v>0</x:v>
      </x:c>
      <x:c r="H271" s="32" t="n">
        <x:f>IF(AND(E271&lt;Settings!$B$13,F271&gt;Settings!$B$13),Settings!$B$14,0)</x:f>
        <x:v>0</x:v>
      </x:c>
      <x:c r="I271" s="32" t="str">
        <x:f>IF(A271="","",G271+H271)</x:f>
      </x:c>
      <x:c r="J271" s="22" t="str">
        <x:f>IF(A271="","",((F271-E271)*24)-(I271/60))</x:f>
      </x:c>
      <x:c r="K271" s="22" t="str">
        <x:f>IF(A271="","",MIN(J271,8))</x:f>
      </x:c>
      <x:c r="L271" s="22" t="str">
        <x:f>IF(A271="","",MAX(J271-8,0))</x:f>
      </x:c>
      <x:c r="M271" s="20" t="str">
        <x:f>IF(A271="","",K271*Settings!$B$5)</x:f>
      </x:c>
      <x:c r="N271" s="20" t="str">
        <x:f>IF(A271="","",L271*Settings!$B$6)</x:f>
      </x:c>
      <x:c r="O271" s="22"/>
      <x:c r="P271" s="22"/>
      <x:c r="Q271" s="22" t="str">
        <x:f>IF(A271="","",MAX(O271-Settings!$B$7,0))</x:f>
      </x:c>
      <x:c r="R271" s="20" t="str">
        <x:f>IF(A271="","",Q271*Settings!$B$8)</x:f>
      </x:c>
      <x:c r="S271" s="20" t="str">
        <x:f>IF(A271="","",M271+N271)</x:f>
      </x:c>
      <x:c r="T271" s="20" t="str">
        <x:f>IF(A271="","",S271+R271)</x:f>
      </x:c>
    </x:row>
    <x:row r="272">
      <x:c r="A272" s="26"/>
      <x:c r="B272" s="26" t="str">
        <x:f>IF(A272="","",A272-MOD(WEEKDAY(A272,2)-5,7))</x:f>
      </x:c>
      <x:c r="C272" s="26" t="str">
        <x:f>IF(B272="","",B272+7)</x:f>
      </x:c>
      <x:c r="D272" t="str">
        <x:f>IF(A272="","",TEXT(A272,"dddd"))</x:f>
      </x:c>
      <x:c r="E272" s="24"/>
      <x:c r="F272" s="24"/>
      <x:c r="G272" s="32" t="n">
        <x:f>IF(AND(E272&lt;Settings!$B$11,F272&gt;Settings!$B$11),Settings!$B$12,0)</x:f>
        <x:v>0</x:v>
      </x:c>
      <x:c r="H272" s="32" t="n">
        <x:f>IF(AND(E272&lt;Settings!$B$13,F272&gt;Settings!$B$13),Settings!$B$14,0)</x:f>
        <x:v>0</x:v>
      </x:c>
      <x:c r="I272" s="32" t="str">
        <x:f>IF(A272="","",G272+H272)</x:f>
      </x:c>
      <x:c r="J272" s="22" t="str">
        <x:f>IF(A272="","",((F272-E272)*24)-(I272/60))</x:f>
      </x:c>
      <x:c r="K272" s="22" t="str">
        <x:f>IF(A272="","",MIN(J272,8))</x:f>
      </x:c>
      <x:c r="L272" s="22" t="str">
        <x:f>IF(A272="","",MAX(J272-8,0))</x:f>
      </x:c>
      <x:c r="M272" s="20" t="str">
        <x:f>IF(A272="","",K272*Settings!$B$5)</x:f>
      </x:c>
      <x:c r="N272" s="20" t="str">
        <x:f>IF(A272="","",L272*Settings!$B$6)</x:f>
      </x:c>
      <x:c r="O272" s="22"/>
      <x:c r="P272" s="22"/>
      <x:c r="Q272" s="22" t="str">
        <x:f>IF(A272="","",MAX(O272-Settings!$B$7,0))</x:f>
      </x:c>
      <x:c r="R272" s="20" t="str">
        <x:f>IF(A272="","",Q272*Settings!$B$8)</x:f>
      </x:c>
      <x:c r="S272" s="20" t="str">
        <x:f>IF(A272="","",M272+N272)</x:f>
      </x:c>
      <x:c r="T272" s="20" t="str">
        <x:f>IF(A272="","",S272+R272)</x:f>
      </x:c>
    </x:row>
    <x:row r="273">
      <x:c r="A273" s="26"/>
      <x:c r="B273" s="26" t="str">
        <x:f>IF(A273="","",A273-MOD(WEEKDAY(A273,2)-5,7))</x:f>
      </x:c>
      <x:c r="C273" s="26" t="str">
        <x:f>IF(B273="","",B273+7)</x:f>
      </x:c>
      <x:c r="D273" t="str">
        <x:f>IF(A273="","",TEXT(A273,"dddd"))</x:f>
      </x:c>
      <x:c r="E273" s="24"/>
      <x:c r="F273" s="24"/>
      <x:c r="G273" s="32" t="n">
        <x:f>IF(AND(E273&lt;Settings!$B$11,F273&gt;Settings!$B$11),Settings!$B$12,0)</x:f>
        <x:v>0</x:v>
      </x:c>
      <x:c r="H273" s="32" t="n">
        <x:f>IF(AND(E273&lt;Settings!$B$13,F273&gt;Settings!$B$13),Settings!$B$14,0)</x:f>
        <x:v>0</x:v>
      </x:c>
      <x:c r="I273" s="32" t="str">
        <x:f>IF(A273="","",G273+H273)</x:f>
      </x:c>
      <x:c r="J273" s="22" t="str">
        <x:f>IF(A273="","",((F273-E273)*24)-(I273/60))</x:f>
      </x:c>
      <x:c r="K273" s="22" t="str">
        <x:f>IF(A273="","",MIN(J273,8))</x:f>
      </x:c>
      <x:c r="L273" s="22" t="str">
        <x:f>IF(A273="","",MAX(J273-8,0))</x:f>
      </x:c>
      <x:c r="M273" s="20" t="str">
        <x:f>IF(A273="","",K273*Settings!$B$5)</x:f>
      </x:c>
      <x:c r="N273" s="20" t="str">
        <x:f>IF(A273="","",L273*Settings!$B$6)</x:f>
      </x:c>
      <x:c r="O273" s="22"/>
      <x:c r="P273" s="22"/>
      <x:c r="Q273" s="22" t="str">
        <x:f>IF(A273="","",MAX(O273-Settings!$B$7,0))</x:f>
      </x:c>
      <x:c r="R273" s="20" t="str">
        <x:f>IF(A273="","",Q273*Settings!$B$8)</x:f>
      </x:c>
      <x:c r="S273" s="20" t="str">
        <x:f>IF(A273="","",M273+N273)</x:f>
      </x:c>
      <x:c r="T273" s="20" t="str">
        <x:f>IF(A273="","",S273+R273)</x:f>
      </x:c>
    </x:row>
    <x:row r="274">
      <x:c r="A274" s="26"/>
      <x:c r="B274" s="26" t="str">
        <x:f>IF(A274="","",A274-MOD(WEEKDAY(A274,2)-5,7))</x:f>
      </x:c>
      <x:c r="C274" s="26" t="str">
        <x:f>IF(B274="","",B274+7)</x:f>
      </x:c>
      <x:c r="D274" t="str">
        <x:f>IF(A274="","",TEXT(A274,"dddd"))</x:f>
      </x:c>
      <x:c r="E274" s="24"/>
      <x:c r="F274" s="24"/>
      <x:c r="G274" s="32" t="n">
        <x:f>IF(AND(E274&lt;Settings!$B$11,F274&gt;Settings!$B$11),Settings!$B$12,0)</x:f>
        <x:v>0</x:v>
      </x:c>
      <x:c r="H274" s="32" t="n">
        <x:f>IF(AND(E274&lt;Settings!$B$13,F274&gt;Settings!$B$13),Settings!$B$14,0)</x:f>
        <x:v>0</x:v>
      </x:c>
      <x:c r="I274" s="32" t="str">
        <x:f>IF(A274="","",G274+H274)</x:f>
      </x:c>
      <x:c r="J274" s="22" t="str">
        <x:f>IF(A274="","",((F274-E274)*24)-(I274/60))</x:f>
      </x:c>
      <x:c r="K274" s="22" t="str">
        <x:f>IF(A274="","",MIN(J274,8))</x:f>
      </x:c>
      <x:c r="L274" s="22" t="str">
        <x:f>IF(A274="","",MAX(J274-8,0))</x:f>
      </x:c>
      <x:c r="M274" s="20" t="str">
        <x:f>IF(A274="","",K274*Settings!$B$5)</x:f>
      </x:c>
      <x:c r="N274" s="20" t="str">
        <x:f>IF(A274="","",L274*Settings!$B$6)</x:f>
      </x:c>
      <x:c r="O274" s="22"/>
      <x:c r="P274" s="22"/>
      <x:c r="Q274" s="22" t="str">
        <x:f>IF(A274="","",MAX(O274-Settings!$B$7,0))</x:f>
      </x:c>
      <x:c r="R274" s="20" t="str">
        <x:f>IF(A274="","",Q274*Settings!$B$8)</x:f>
      </x:c>
      <x:c r="S274" s="20" t="str">
        <x:f>IF(A274="","",M274+N274)</x:f>
      </x:c>
      <x:c r="T274" s="20" t="str">
        <x:f>IF(A274="","",S274+R274)</x:f>
      </x:c>
    </x:row>
    <x:row r="275">
      <x:c r="A275" s="26"/>
      <x:c r="B275" s="26" t="str">
        <x:f>IF(A275="","",A275-MOD(WEEKDAY(A275,2)-5,7))</x:f>
      </x:c>
      <x:c r="C275" s="26" t="str">
        <x:f>IF(B275="","",B275+7)</x:f>
      </x:c>
      <x:c r="D275" t="str">
        <x:f>IF(A275="","",TEXT(A275,"dddd"))</x:f>
      </x:c>
      <x:c r="E275" s="24"/>
      <x:c r="F275" s="24"/>
      <x:c r="G275" s="32" t="n">
        <x:f>IF(AND(E275&lt;Settings!$B$11,F275&gt;Settings!$B$11),Settings!$B$12,0)</x:f>
        <x:v>0</x:v>
      </x:c>
      <x:c r="H275" s="32" t="n">
        <x:f>IF(AND(E275&lt;Settings!$B$13,F275&gt;Settings!$B$13),Settings!$B$14,0)</x:f>
        <x:v>0</x:v>
      </x:c>
      <x:c r="I275" s="32" t="str">
        <x:f>IF(A275="","",G275+H275)</x:f>
      </x:c>
      <x:c r="J275" s="22" t="str">
        <x:f>IF(A275="","",((F275-E275)*24)-(I275/60))</x:f>
      </x:c>
      <x:c r="K275" s="22" t="str">
        <x:f>IF(A275="","",MIN(J275,8))</x:f>
      </x:c>
      <x:c r="L275" s="22" t="str">
        <x:f>IF(A275="","",MAX(J275-8,0))</x:f>
      </x:c>
      <x:c r="M275" s="20" t="str">
        <x:f>IF(A275="","",K275*Settings!$B$5)</x:f>
      </x:c>
      <x:c r="N275" s="20" t="str">
        <x:f>IF(A275="","",L275*Settings!$B$6)</x:f>
      </x:c>
      <x:c r="O275" s="22"/>
      <x:c r="P275" s="22"/>
      <x:c r="Q275" s="22" t="str">
        <x:f>IF(A275="","",MAX(O275-Settings!$B$7,0))</x:f>
      </x:c>
      <x:c r="R275" s="20" t="str">
        <x:f>IF(A275="","",Q275*Settings!$B$8)</x:f>
      </x:c>
      <x:c r="S275" s="20" t="str">
        <x:f>IF(A275="","",M275+N275)</x:f>
      </x:c>
      <x:c r="T275" s="20" t="str">
        <x:f>IF(A275="","",S275+R275)</x:f>
      </x:c>
    </x:row>
    <x:row r="276">
      <x:c r="A276" s="26"/>
      <x:c r="B276" s="26" t="str">
        <x:f>IF(A276="","",A276-MOD(WEEKDAY(A276,2)-5,7))</x:f>
      </x:c>
      <x:c r="C276" s="26" t="str">
        <x:f>IF(B276="","",B276+7)</x:f>
      </x:c>
      <x:c r="D276" t="str">
        <x:f>IF(A276="","",TEXT(A276,"dddd"))</x:f>
      </x:c>
      <x:c r="E276" s="24"/>
      <x:c r="F276" s="24"/>
      <x:c r="G276" s="32" t="n">
        <x:f>IF(AND(E276&lt;Settings!$B$11,F276&gt;Settings!$B$11),Settings!$B$12,0)</x:f>
        <x:v>0</x:v>
      </x:c>
      <x:c r="H276" s="32" t="n">
        <x:f>IF(AND(E276&lt;Settings!$B$13,F276&gt;Settings!$B$13),Settings!$B$14,0)</x:f>
        <x:v>0</x:v>
      </x:c>
      <x:c r="I276" s="32" t="str">
        <x:f>IF(A276="","",G276+H276)</x:f>
      </x:c>
      <x:c r="J276" s="22" t="str">
        <x:f>IF(A276="","",((F276-E276)*24)-(I276/60))</x:f>
      </x:c>
      <x:c r="K276" s="22" t="str">
        <x:f>IF(A276="","",MIN(J276,8))</x:f>
      </x:c>
      <x:c r="L276" s="22" t="str">
        <x:f>IF(A276="","",MAX(J276-8,0))</x:f>
      </x:c>
      <x:c r="M276" s="20" t="str">
        <x:f>IF(A276="","",K276*Settings!$B$5)</x:f>
      </x:c>
      <x:c r="N276" s="20" t="str">
        <x:f>IF(A276="","",L276*Settings!$B$6)</x:f>
      </x:c>
      <x:c r="O276" s="22"/>
      <x:c r="P276" s="22"/>
      <x:c r="Q276" s="22" t="str">
        <x:f>IF(A276="","",MAX(O276-Settings!$B$7,0))</x:f>
      </x:c>
      <x:c r="R276" s="20" t="str">
        <x:f>IF(A276="","",Q276*Settings!$B$8)</x:f>
      </x:c>
      <x:c r="S276" s="20" t="str">
        <x:f>IF(A276="","",M276+N276)</x:f>
      </x:c>
      <x:c r="T276" s="20" t="str">
        <x:f>IF(A276="","",S276+R276)</x:f>
      </x:c>
    </x:row>
    <x:row r="277">
      <x:c r="A277" s="26"/>
      <x:c r="B277" s="26" t="str">
        <x:f>IF(A277="","",A277-MOD(WEEKDAY(A277,2)-5,7))</x:f>
      </x:c>
      <x:c r="C277" s="26" t="str">
        <x:f>IF(B277="","",B277+7)</x:f>
      </x:c>
      <x:c r="D277" t="str">
        <x:f>IF(A277="","",TEXT(A277,"dddd"))</x:f>
      </x:c>
      <x:c r="E277" s="24"/>
      <x:c r="F277" s="24"/>
      <x:c r="G277" s="32" t="n">
        <x:f>IF(AND(E277&lt;Settings!$B$11,F277&gt;Settings!$B$11),Settings!$B$12,0)</x:f>
        <x:v>0</x:v>
      </x:c>
      <x:c r="H277" s="32" t="n">
        <x:f>IF(AND(E277&lt;Settings!$B$13,F277&gt;Settings!$B$13),Settings!$B$14,0)</x:f>
        <x:v>0</x:v>
      </x:c>
      <x:c r="I277" s="32" t="str">
        <x:f>IF(A277="","",G277+H277)</x:f>
      </x:c>
      <x:c r="J277" s="22" t="str">
        <x:f>IF(A277="","",((F277-E277)*24)-(I277/60))</x:f>
      </x:c>
      <x:c r="K277" s="22" t="str">
        <x:f>IF(A277="","",MIN(J277,8))</x:f>
      </x:c>
      <x:c r="L277" s="22" t="str">
        <x:f>IF(A277="","",MAX(J277-8,0))</x:f>
      </x:c>
      <x:c r="M277" s="20" t="str">
        <x:f>IF(A277="","",K277*Settings!$B$5)</x:f>
      </x:c>
      <x:c r="N277" s="20" t="str">
        <x:f>IF(A277="","",L277*Settings!$B$6)</x:f>
      </x:c>
      <x:c r="O277" s="22"/>
      <x:c r="P277" s="22"/>
      <x:c r="Q277" s="22" t="str">
        <x:f>IF(A277="","",MAX(O277-Settings!$B$7,0))</x:f>
      </x:c>
      <x:c r="R277" s="20" t="str">
        <x:f>IF(A277="","",Q277*Settings!$B$8)</x:f>
      </x:c>
      <x:c r="S277" s="20" t="str">
        <x:f>IF(A277="","",M277+N277)</x:f>
      </x:c>
      <x:c r="T277" s="20" t="str">
        <x:f>IF(A277="","",S277+R277)</x:f>
      </x:c>
    </x:row>
    <x:row r="278">
      <x:c r="A278" s="26"/>
      <x:c r="B278" s="26" t="str">
        <x:f>IF(A278="","",A278-MOD(WEEKDAY(A278,2)-5,7))</x:f>
      </x:c>
      <x:c r="C278" s="26" t="str">
        <x:f>IF(B278="","",B278+7)</x:f>
      </x:c>
      <x:c r="D278" t="str">
        <x:f>IF(A278="","",TEXT(A278,"dddd"))</x:f>
      </x:c>
      <x:c r="E278" s="24"/>
      <x:c r="F278" s="24"/>
      <x:c r="G278" s="32" t="n">
        <x:f>IF(AND(E278&lt;Settings!$B$11,F278&gt;Settings!$B$11),Settings!$B$12,0)</x:f>
        <x:v>0</x:v>
      </x:c>
      <x:c r="H278" s="32" t="n">
        <x:f>IF(AND(E278&lt;Settings!$B$13,F278&gt;Settings!$B$13),Settings!$B$14,0)</x:f>
        <x:v>0</x:v>
      </x:c>
      <x:c r="I278" s="32" t="str">
        <x:f>IF(A278="","",G278+H278)</x:f>
      </x:c>
      <x:c r="J278" s="22" t="str">
        <x:f>IF(A278="","",((F278-E278)*24)-(I278/60))</x:f>
      </x:c>
      <x:c r="K278" s="22" t="str">
        <x:f>IF(A278="","",MIN(J278,8))</x:f>
      </x:c>
      <x:c r="L278" s="22" t="str">
        <x:f>IF(A278="","",MAX(J278-8,0))</x:f>
      </x:c>
      <x:c r="M278" s="20" t="str">
        <x:f>IF(A278="","",K278*Settings!$B$5)</x:f>
      </x:c>
      <x:c r="N278" s="20" t="str">
        <x:f>IF(A278="","",L278*Settings!$B$6)</x:f>
      </x:c>
      <x:c r="O278" s="22"/>
      <x:c r="P278" s="22"/>
      <x:c r="Q278" s="22" t="str">
        <x:f>IF(A278="","",MAX(O278-Settings!$B$7,0))</x:f>
      </x:c>
      <x:c r="R278" s="20" t="str">
        <x:f>IF(A278="","",Q278*Settings!$B$8)</x:f>
      </x:c>
      <x:c r="S278" s="20" t="str">
        <x:f>IF(A278="","",M278+N278)</x:f>
      </x:c>
      <x:c r="T278" s="20" t="str">
        <x:f>IF(A278="","",S278+R278)</x:f>
      </x:c>
    </x:row>
    <x:row r="279">
      <x:c r="A279" s="26"/>
      <x:c r="B279" s="26" t="str">
        <x:f>IF(A279="","",A279-MOD(WEEKDAY(A279,2)-5,7))</x:f>
      </x:c>
      <x:c r="C279" s="26" t="str">
        <x:f>IF(B279="","",B279+7)</x:f>
      </x:c>
      <x:c r="D279" t="str">
        <x:f>IF(A279="","",TEXT(A279,"dddd"))</x:f>
      </x:c>
      <x:c r="E279" s="24"/>
      <x:c r="F279" s="24"/>
      <x:c r="G279" s="32" t="n">
        <x:f>IF(AND(E279&lt;Settings!$B$11,F279&gt;Settings!$B$11),Settings!$B$12,0)</x:f>
        <x:v>0</x:v>
      </x:c>
      <x:c r="H279" s="32" t="n">
        <x:f>IF(AND(E279&lt;Settings!$B$13,F279&gt;Settings!$B$13),Settings!$B$14,0)</x:f>
        <x:v>0</x:v>
      </x:c>
      <x:c r="I279" s="32" t="str">
        <x:f>IF(A279="","",G279+H279)</x:f>
      </x:c>
      <x:c r="J279" s="22" t="str">
        <x:f>IF(A279="","",((F279-E279)*24)-(I279/60))</x:f>
      </x:c>
      <x:c r="K279" s="22" t="str">
        <x:f>IF(A279="","",MIN(J279,8))</x:f>
      </x:c>
      <x:c r="L279" s="22" t="str">
        <x:f>IF(A279="","",MAX(J279-8,0))</x:f>
      </x:c>
      <x:c r="M279" s="20" t="str">
        <x:f>IF(A279="","",K279*Settings!$B$5)</x:f>
      </x:c>
      <x:c r="N279" s="20" t="str">
        <x:f>IF(A279="","",L279*Settings!$B$6)</x:f>
      </x:c>
      <x:c r="O279" s="22"/>
      <x:c r="P279" s="22"/>
      <x:c r="Q279" s="22" t="str">
        <x:f>IF(A279="","",MAX(O279-Settings!$B$7,0))</x:f>
      </x:c>
      <x:c r="R279" s="20" t="str">
        <x:f>IF(A279="","",Q279*Settings!$B$8)</x:f>
      </x:c>
      <x:c r="S279" s="20" t="str">
        <x:f>IF(A279="","",M279+N279)</x:f>
      </x:c>
      <x:c r="T279" s="20" t="str">
        <x:f>IF(A279="","",S279+R279)</x:f>
      </x:c>
    </x:row>
    <x:row r="280">
      <x:c r="A280" s="26"/>
      <x:c r="B280" s="26" t="str">
        <x:f>IF(A280="","",A280-MOD(WEEKDAY(A280,2)-5,7))</x:f>
      </x:c>
      <x:c r="C280" s="26" t="str">
        <x:f>IF(B280="","",B280+7)</x:f>
      </x:c>
      <x:c r="D280" t="str">
        <x:f>IF(A280="","",TEXT(A280,"dddd"))</x:f>
      </x:c>
      <x:c r="E280" s="24"/>
      <x:c r="F280" s="24"/>
      <x:c r="G280" s="32" t="n">
        <x:f>IF(AND(E280&lt;Settings!$B$11,F280&gt;Settings!$B$11),Settings!$B$12,0)</x:f>
        <x:v>0</x:v>
      </x:c>
      <x:c r="H280" s="32" t="n">
        <x:f>IF(AND(E280&lt;Settings!$B$13,F280&gt;Settings!$B$13),Settings!$B$14,0)</x:f>
        <x:v>0</x:v>
      </x:c>
      <x:c r="I280" s="32" t="str">
        <x:f>IF(A280="","",G280+H280)</x:f>
      </x:c>
      <x:c r="J280" s="22" t="str">
        <x:f>IF(A280="","",((F280-E280)*24)-(I280/60))</x:f>
      </x:c>
      <x:c r="K280" s="22" t="str">
        <x:f>IF(A280="","",MIN(J280,8))</x:f>
      </x:c>
      <x:c r="L280" s="22" t="str">
        <x:f>IF(A280="","",MAX(J280-8,0))</x:f>
      </x:c>
      <x:c r="M280" s="20" t="str">
        <x:f>IF(A280="","",K280*Settings!$B$5)</x:f>
      </x:c>
      <x:c r="N280" s="20" t="str">
        <x:f>IF(A280="","",L280*Settings!$B$6)</x:f>
      </x:c>
      <x:c r="O280" s="22"/>
      <x:c r="P280" s="22"/>
      <x:c r="Q280" s="22" t="str">
        <x:f>IF(A280="","",MAX(O280-Settings!$B$7,0))</x:f>
      </x:c>
      <x:c r="R280" s="20" t="str">
        <x:f>IF(A280="","",Q280*Settings!$B$8)</x:f>
      </x:c>
      <x:c r="S280" s="20" t="str">
        <x:f>IF(A280="","",M280+N280)</x:f>
      </x:c>
      <x:c r="T280" s="20" t="str">
        <x:f>IF(A280="","",S280+R280)</x:f>
      </x:c>
    </x:row>
    <x:row r="281">
      <x:c r="A281" s="26"/>
      <x:c r="B281" s="26" t="str">
        <x:f>IF(A281="","",A281-MOD(WEEKDAY(A281,2)-5,7))</x:f>
      </x:c>
      <x:c r="C281" s="26" t="str">
        <x:f>IF(B281="","",B281+7)</x:f>
      </x:c>
      <x:c r="D281" t="str">
        <x:f>IF(A281="","",TEXT(A281,"dddd"))</x:f>
      </x:c>
      <x:c r="E281" s="24"/>
      <x:c r="F281" s="24"/>
      <x:c r="G281" s="32" t="n">
        <x:f>IF(AND(E281&lt;Settings!$B$11,F281&gt;Settings!$B$11),Settings!$B$12,0)</x:f>
        <x:v>0</x:v>
      </x:c>
      <x:c r="H281" s="32" t="n">
        <x:f>IF(AND(E281&lt;Settings!$B$13,F281&gt;Settings!$B$13),Settings!$B$14,0)</x:f>
        <x:v>0</x:v>
      </x:c>
      <x:c r="I281" s="32" t="str">
        <x:f>IF(A281="","",G281+H281)</x:f>
      </x:c>
      <x:c r="J281" s="22" t="str">
        <x:f>IF(A281="","",((F281-E281)*24)-(I281/60))</x:f>
      </x:c>
      <x:c r="K281" s="22" t="str">
        <x:f>IF(A281="","",MIN(J281,8))</x:f>
      </x:c>
      <x:c r="L281" s="22" t="str">
        <x:f>IF(A281="","",MAX(J281-8,0))</x:f>
      </x:c>
      <x:c r="M281" s="20" t="str">
        <x:f>IF(A281="","",K281*Settings!$B$5)</x:f>
      </x:c>
      <x:c r="N281" s="20" t="str">
        <x:f>IF(A281="","",L281*Settings!$B$6)</x:f>
      </x:c>
      <x:c r="O281" s="22"/>
      <x:c r="P281" s="22"/>
      <x:c r="Q281" s="22" t="str">
        <x:f>IF(A281="","",MAX(O281-Settings!$B$7,0))</x:f>
      </x:c>
      <x:c r="R281" s="20" t="str">
        <x:f>IF(A281="","",Q281*Settings!$B$8)</x:f>
      </x:c>
      <x:c r="S281" s="20" t="str">
        <x:f>IF(A281="","",M281+N281)</x:f>
      </x:c>
      <x:c r="T281" s="20" t="str">
        <x:f>IF(A281="","",S281+R281)</x:f>
      </x:c>
    </x:row>
    <x:row r="282">
      <x:c r="A282" s="26"/>
      <x:c r="B282" s="26" t="str">
        <x:f>IF(A282="","",A282-MOD(WEEKDAY(A282,2)-5,7))</x:f>
      </x:c>
      <x:c r="C282" s="26" t="str">
        <x:f>IF(B282="","",B282+7)</x:f>
      </x:c>
      <x:c r="D282" t="str">
        <x:f>IF(A282="","",TEXT(A282,"dddd"))</x:f>
      </x:c>
      <x:c r="E282" s="24"/>
      <x:c r="F282" s="24"/>
      <x:c r="G282" s="32" t="n">
        <x:f>IF(AND(E282&lt;Settings!$B$11,F282&gt;Settings!$B$11),Settings!$B$12,0)</x:f>
        <x:v>0</x:v>
      </x:c>
      <x:c r="H282" s="32" t="n">
        <x:f>IF(AND(E282&lt;Settings!$B$13,F282&gt;Settings!$B$13),Settings!$B$14,0)</x:f>
        <x:v>0</x:v>
      </x:c>
      <x:c r="I282" s="32" t="str">
        <x:f>IF(A282="","",G282+H282)</x:f>
      </x:c>
      <x:c r="J282" s="22" t="str">
        <x:f>IF(A282="","",((F282-E282)*24)-(I282/60))</x:f>
      </x:c>
      <x:c r="K282" s="22" t="str">
        <x:f>IF(A282="","",MIN(J282,8))</x:f>
      </x:c>
      <x:c r="L282" s="22" t="str">
        <x:f>IF(A282="","",MAX(J282-8,0))</x:f>
      </x:c>
      <x:c r="M282" s="20" t="str">
        <x:f>IF(A282="","",K282*Settings!$B$5)</x:f>
      </x:c>
      <x:c r="N282" s="20" t="str">
        <x:f>IF(A282="","",L282*Settings!$B$6)</x:f>
      </x:c>
      <x:c r="O282" s="22"/>
      <x:c r="P282" s="22"/>
      <x:c r="Q282" s="22" t="str">
        <x:f>IF(A282="","",MAX(O282-Settings!$B$7,0))</x:f>
      </x:c>
      <x:c r="R282" s="20" t="str">
        <x:f>IF(A282="","",Q282*Settings!$B$8)</x:f>
      </x:c>
      <x:c r="S282" s="20" t="str">
        <x:f>IF(A282="","",M282+N282)</x:f>
      </x:c>
      <x:c r="T282" s="20" t="str">
        <x:f>IF(A282="","",S282+R282)</x:f>
      </x:c>
    </x:row>
    <x:row r="283">
      <x:c r="A283" s="26"/>
      <x:c r="B283" s="26" t="str">
        <x:f>IF(A283="","",A283-MOD(WEEKDAY(A283,2)-5,7))</x:f>
      </x:c>
      <x:c r="C283" s="26" t="str">
        <x:f>IF(B283="","",B283+7)</x:f>
      </x:c>
      <x:c r="D283" t="str">
        <x:f>IF(A283="","",TEXT(A283,"dddd"))</x:f>
      </x:c>
      <x:c r="E283" s="24"/>
      <x:c r="F283" s="24"/>
      <x:c r="G283" s="32" t="n">
        <x:f>IF(AND(E283&lt;Settings!$B$11,F283&gt;Settings!$B$11),Settings!$B$12,0)</x:f>
        <x:v>0</x:v>
      </x:c>
      <x:c r="H283" s="32" t="n">
        <x:f>IF(AND(E283&lt;Settings!$B$13,F283&gt;Settings!$B$13),Settings!$B$14,0)</x:f>
        <x:v>0</x:v>
      </x:c>
      <x:c r="I283" s="32" t="str">
        <x:f>IF(A283="","",G283+H283)</x:f>
      </x:c>
      <x:c r="J283" s="22" t="str">
        <x:f>IF(A283="","",((F283-E283)*24)-(I283/60))</x:f>
      </x:c>
      <x:c r="K283" s="22" t="str">
        <x:f>IF(A283="","",MIN(J283,8))</x:f>
      </x:c>
      <x:c r="L283" s="22" t="str">
        <x:f>IF(A283="","",MAX(J283-8,0))</x:f>
      </x:c>
      <x:c r="M283" s="20" t="str">
        <x:f>IF(A283="","",K283*Settings!$B$5)</x:f>
      </x:c>
      <x:c r="N283" s="20" t="str">
        <x:f>IF(A283="","",L283*Settings!$B$6)</x:f>
      </x:c>
      <x:c r="O283" s="22"/>
      <x:c r="P283" s="22"/>
      <x:c r="Q283" s="22" t="str">
        <x:f>IF(A283="","",MAX(O283-Settings!$B$7,0))</x:f>
      </x:c>
      <x:c r="R283" s="20" t="str">
        <x:f>IF(A283="","",Q283*Settings!$B$8)</x:f>
      </x:c>
      <x:c r="S283" s="20" t="str">
        <x:f>IF(A283="","",M283+N283)</x:f>
      </x:c>
      <x:c r="T283" s="20" t="str">
        <x:f>IF(A283="","",S283+R283)</x:f>
      </x:c>
    </x:row>
    <x:row r="284">
      <x:c r="A284" s="26"/>
      <x:c r="B284" s="26" t="str">
        <x:f>IF(A284="","",A284-MOD(WEEKDAY(A284,2)-5,7))</x:f>
      </x:c>
      <x:c r="C284" s="26" t="str">
        <x:f>IF(B284="","",B284+7)</x:f>
      </x:c>
      <x:c r="D284" t="str">
        <x:f>IF(A284="","",TEXT(A284,"dddd"))</x:f>
      </x:c>
      <x:c r="E284" s="24"/>
      <x:c r="F284" s="24"/>
      <x:c r="G284" s="32" t="n">
        <x:f>IF(AND(E284&lt;Settings!$B$11,F284&gt;Settings!$B$11),Settings!$B$12,0)</x:f>
        <x:v>0</x:v>
      </x:c>
      <x:c r="H284" s="32" t="n">
        <x:f>IF(AND(E284&lt;Settings!$B$13,F284&gt;Settings!$B$13),Settings!$B$14,0)</x:f>
        <x:v>0</x:v>
      </x:c>
      <x:c r="I284" s="32" t="str">
        <x:f>IF(A284="","",G284+H284)</x:f>
      </x:c>
      <x:c r="J284" s="22" t="str">
        <x:f>IF(A284="","",((F284-E284)*24)-(I284/60))</x:f>
      </x:c>
      <x:c r="K284" s="22" t="str">
        <x:f>IF(A284="","",MIN(J284,8))</x:f>
      </x:c>
      <x:c r="L284" s="22" t="str">
        <x:f>IF(A284="","",MAX(J284-8,0))</x:f>
      </x:c>
      <x:c r="M284" s="20" t="str">
        <x:f>IF(A284="","",K284*Settings!$B$5)</x:f>
      </x:c>
      <x:c r="N284" s="20" t="str">
        <x:f>IF(A284="","",L284*Settings!$B$6)</x:f>
      </x:c>
      <x:c r="O284" s="22"/>
      <x:c r="P284" s="22"/>
      <x:c r="Q284" s="22" t="str">
        <x:f>IF(A284="","",MAX(O284-Settings!$B$7,0))</x:f>
      </x:c>
      <x:c r="R284" s="20" t="str">
        <x:f>IF(A284="","",Q284*Settings!$B$8)</x:f>
      </x:c>
      <x:c r="S284" s="20" t="str">
        <x:f>IF(A284="","",M284+N284)</x:f>
      </x:c>
      <x:c r="T284" s="20" t="str">
        <x:f>IF(A284="","",S284+R284)</x:f>
      </x:c>
    </x:row>
    <x:row r="285">
      <x:c r="A285" s="26"/>
      <x:c r="B285" s="26" t="str">
        <x:f>IF(A285="","",A285-MOD(WEEKDAY(A285,2)-5,7))</x:f>
      </x:c>
      <x:c r="C285" s="26" t="str">
        <x:f>IF(B285="","",B285+7)</x:f>
      </x:c>
      <x:c r="D285" t="str">
        <x:f>IF(A285="","",TEXT(A285,"dddd"))</x:f>
      </x:c>
      <x:c r="E285" s="24"/>
      <x:c r="F285" s="24"/>
      <x:c r="G285" s="32" t="n">
        <x:f>IF(AND(E285&lt;Settings!$B$11,F285&gt;Settings!$B$11),Settings!$B$12,0)</x:f>
        <x:v>0</x:v>
      </x:c>
      <x:c r="H285" s="32" t="n">
        <x:f>IF(AND(E285&lt;Settings!$B$13,F285&gt;Settings!$B$13),Settings!$B$14,0)</x:f>
        <x:v>0</x:v>
      </x:c>
      <x:c r="I285" s="32" t="str">
        <x:f>IF(A285="","",G285+H285)</x:f>
      </x:c>
      <x:c r="J285" s="22" t="str">
        <x:f>IF(A285="","",((F285-E285)*24)-(I285/60))</x:f>
      </x:c>
      <x:c r="K285" s="22" t="str">
        <x:f>IF(A285="","",MIN(J285,8))</x:f>
      </x:c>
      <x:c r="L285" s="22" t="str">
        <x:f>IF(A285="","",MAX(J285-8,0))</x:f>
      </x:c>
      <x:c r="M285" s="20" t="str">
        <x:f>IF(A285="","",K285*Settings!$B$5)</x:f>
      </x:c>
      <x:c r="N285" s="20" t="str">
        <x:f>IF(A285="","",L285*Settings!$B$6)</x:f>
      </x:c>
      <x:c r="O285" s="22"/>
      <x:c r="P285" s="22"/>
      <x:c r="Q285" s="22" t="str">
        <x:f>IF(A285="","",MAX(O285-Settings!$B$7,0))</x:f>
      </x:c>
      <x:c r="R285" s="20" t="str">
        <x:f>IF(A285="","",Q285*Settings!$B$8)</x:f>
      </x:c>
      <x:c r="S285" s="20" t="str">
        <x:f>IF(A285="","",M285+N285)</x:f>
      </x:c>
      <x:c r="T285" s="20" t="str">
        <x:f>IF(A285="","",S285+R285)</x:f>
      </x:c>
    </x:row>
    <x:row r="286">
      <x:c r="A286" s="26"/>
      <x:c r="B286" s="26" t="str">
        <x:f>IF(A286="","",A286-MOD(WEEKDAY(A286,2)-5,7))</x:f>
      </x:c>
      <x:c r="C286" s="26" t="str">
        <x:f>IF(B286="","",B286+7)</x:f>
      </x:c>
      <x:c r="D286" t="str">
        <x:f>IF(A286="","",TEXT(A286,"dddd"))</x:f>
      </x:c>
      <x:c r="E286" s="24"/>
      <x:c r="F286" s="24"/>
      <x:c r="G286" s="32" t="n">
        <x:f>IF(AND(E286&lt;Settings!$B$11,F286&gt;Settings!$B$11),Settings!$B$12,0)</x:f>
        <x:v>0</x:v>
      </x:c>
      <x:c r="H286" s="32" t="n">
        <x:f>IF(AND(E286&lt;Settings!$B$13,F286&gt;Settings!$B$13),Settings!$B$14,0)</x:f>
        <x:v>0</x:v>
      </x:c>
      <x:c r="I286" s="32" t="str">
        <x:f>IF(A286="","",G286+H286)</x:f>
      </x:c>
      <x:c r="J286" s="22" t="str">
        <x:f>IF(A286="","",((F286-E286)*24)-(I286/60))</x:f>
      </x:c>
      <x:c r="K286" s="22" t="str">
        <x:f>IF(A286="","",MIN(J286,8))</x:f>
      </x:c>
      <x:c r="L286" s="22" t="str">
        <x:f>IF(A286="","",MAX(J286-8,0))</x:f>
      </x:c>
      <x:c r="M286" s="20" t="str">
        <x:f>IF(A286="","",K286*Settings!$B$5)</x:f>
      </x:c>
      <x:c r="N286" s="20" t="str">
        <x:f>IF(A286="","",L286*Settings!$B$6)</x:f>
      </x:c>
      <x:c r="O286" s="22"/>
      <x:c r="P286" s="22"/>
      <x:c r="Q286" s="22" t="str">
        <x:f>IF(A286="","",MAX(O286-Settings!$B$7,0))</x:f>
      </x:c>
      <x:c r="R286" s="20" t="str">
        <x:f>IF(A286="","",Q286*Settings!$B$8)</x:f>
      </x:c>
      <x:c r="S286" s="20" t="str">
        <x:f>IF(A286="","",M286+N286)</x:f>
      </x:c>
      <x:c r="T286" s="20" t="str">
        <x:f>IF(A286="","",S286+R286)</x:f>
      </x:c>
    </x:row>
    <x:row r="287">
      <x:c r="A287" s="26"/>
      <x:c r="B287" s="26" t="str">
        <x:f>IF(A287="","",A287-MOD(WEEKDAY(A287,2)-5,7))</x:f>
      </x:c>
      <x:c r="C287" s="26" t="str">
        <x:f>IF(B287="","",B287+7)</x:f>
      </x:c>
      <x:c r="D287" t="str">
        <x:f>IF(A287="","",TEXT(A287,"dddd"))</x:f>
      </x:c>
      <x:c r="E287" s="24"/>
      <x:c r="F287" s="24"/>
      <x:c r="G287" s="32" t="n">
        <x:f>IF(AND(E287&lt;Settings!$B$11,F287&gt;Settings!$B$11),Settings!$B$12,0)</x:f>
        <x:v>0</x:v>
      </x:c>
      <x:c r="H287" s="32" t="n">
        <x:f>IF(AND(E287&lt;Settings!$B$13,F287&gt;Settings!$B$13),Settings!$B$14,0)</x:f>
        <x:v>0</x:v>
      </x:c>
      <x:c r="I287" s="32" t="str">
        <x:f>IF(A287="","",G287+H287)</x:f>
      </x:c>
      <x:c r="J287" s="22" t="str">
        <x:f>IF(A287="","",((F287-E287)*24)-(I287/60))</x:f>
      </x:c>
      <x:c r="K287" s="22" t="str">
        <x:f>IF(A287="","",MIN(J287,8))</x:f>
      </x:c>
      <x:c r="L287" s="22" t="str">
        <x:f>IF(A287="","",MAX(J287-8,0))</x:f>
      </x:c>
      <x:c r="M287" s="20" t="str">
        <x:f>IF(A287="","",K287*Settings!$B$5)</x:f>
      </x:c>
      <x:c r="N287" s="20" t="str">
        <x:f>IF(A287="","",L287*Settings!$B$6)</x:f>
      </x:c>
      <x:c r="O287" s="22"/>
      <x:c r="P287" s="22"/>
      <x:c r="Q287" s="22" t="str">
        <x:f>IF(A287="","",MAX(O287-Settings!$B$7,0))</x:f>
      </x:c>
      <x:c r="R287" s="20" t="str">
        <x:f>IF(A287="","",Q287*Settings!$B$8)</x:f>
      </x:c>
      <x:c r="S287" s="20" t="str">
        <x:f>IF(A287="","",M287+N287)</x:f>
      </x:c>
      <x:c r="T287" s="20" t="str">
        <x:f>IF(A287="","",S287+R287)</x:f>
      </x:c>
    </x:row>
    <x:row r="288">
      <x:c r="A288" s="26"/>
      <x:c r="B288" s="26" t="str">
        <x:f>IF(A288="","",A288-MOD(WEEKDAY(A288,2)-5,7))</x:f>
      </x:c>
      <x:c r="C288" s="26" t="str">
        <x:f>IF(B288="","",B288+7)</x:f>
      </x:c>
      <x:c r="D288" t="str">
        <x:f>IF(A288="","",TEXT(A288,"dddd"))</x:f>
      </x:c>
      <x:c r="E288" s="24"/>
      <x:c r="F288" s="24"/>
      <x:c r="G288" s="32" t="n">
        <x:f>IF(AND(E288&lt;Settings!$B$11,F288&gt;Settings!$B$11),Settings!$B$12,0)</x:f>
        <x:v>0</x:v>
      </x:c>
      <x:c r="H288" s="32" t="n">
        <x:f>IF(AND(E288&lt;Settings!$B$13,F288&gt;Settings!$B$13),Settings!$B$14,0)</x:f>
        <x:v>0</x:v>
      </x:c>
      <x:c r="I288" s="32" t="str">
        <x:f>IF(A288="","",G288+H288)</x:f>
      </x:c>
      <x:c r="J288" s="22" t="str">
        <x:f>IF(A288="","",((F288-E288)*24)-(I288/60))</x:f>
      </x:c>
      <x:c r="K288" s="22" t="str">
        <x:f>IF(A288="","",MIN(J288,8))</x:f>
      </x:c>
      <x:c r="L288" s="22" t="str">
        <x:f>IF(A288="","",MAX(J288-8,0))</x:f>
      </x:c>
      <x:c r="M288" s="20" t="str">
        <x:f>IF(A288="","",K288*Settings!$B$5)</x:f>
      </x:c>
      <x:c r="N288" s="20" t="str">
        <x:f>IF(A288="","",L288*Settings!$B$6)</x:f>
      </x:c>
      <x:c r="O288" s="22"/>
      <x:c r="P288" s="22"/>
      <x:c r="Q288" s="22" t="str">
        <x:f>IF(A288="","",MAX(O288-Settings!$B$7,0))</x:f>
      </x:c>
      <x:c r="R288" s="20" t="str">
        <x:f>IF(A288="","",Q288*Settings!$B$8)</x:f>
      </x:c>
      <x:c r="S288" s="20" t="str">
        <x:f>IF(A288="","",M288+N288)</x:f>
      </x:c>
      <x:c r="T288" s="20" t="str">
        <x:f>IF(A288="","",S288+R288)</x:f>
      </x:c>
    </x:row>
    <x:row r="289">
      <x:c r="A289" s="26"/>
      <x:c r="B289" s="26" t="str">
        <x:f>IF(A289="","",A289-MOD(WEEKDAY(A289,2)-5,7))</x:f>
      </x:c>
      <x:c r="C289" s="26" t="str">
        <x:f>IF(B289="","",B289+7)</x:f>
      </x:c>
      <x:c r="D289" t="str">
        <x:f>IF(A289="","",TEXT(A289,"dddd"))</x:f>
      </x:c>
      <x:c r="E289" s="24"/>
      <x:c r="F289" s="24"/>
      <x:c r="G289" s="32" t="n">
        <x:f>IF(AND(E289&lt;Settings!$B$11,F289&gt;Settings!$B$11),Settings!$B$12,0)</x:f>
        <x:v>0</x:v>
      </x:c>
      <x:c r="H289" s="32" t="n">
        <x:f>IF(AND(E289&lt;Settings!$B$13,F289&gt;Settings!$B$13),Settings!$B$14,0)</x:f>
        <x:v>0</x:v>
      </x:c>
      <x:c r="I289" s="32" t="str">
        <x:f>IF(A289="","",G289+H289)</x:f>
      </x:c>
      <x:c r="J289" s="22" t="str">
        <x:f>IF(A289="","",((F289-E289)*24)-(I289/60))</x:f>
      </x:c>
      <x:c r="K289" s="22" t="str">
        <x:f>IF(A289="","",MIN(J289,8))</x:f>
      </x:c>
      <x:c r="L289" s="22" t="str">
        <x:f>IF(A289="","",MAX(J289-8,0))</x:f>
      </x:c>
      <x:c r="M289" s="20" t="str">
        <x:f>IF(A289="","",K289*Settings!$B$5)</x:f>
      </x:c>
      <x:c r="N289" s="20" t="str">
        <x:f>IF(A289="","",L289*Settings!$B$6)</x:f>
      </x:c>
      <x:c r="O289" s="22"/>
      <x:c r="P289" s="22"/>
      <x:c r="Q289" s="22" t="str">
        <x:f>IF(A289="","",MAX(O289-Settings!$B$7,0))</x:f>
      </x:c>
      <x:c r="R289" s="20" t="str">
        <x:f>IF(A289="","",Q289*Settings!$B$8)</x:f>
      </x:c>
      <x:c r="S289" s="20" t="str">
        <x:f>IF(A289="","",M289+N289)</x:f>
      </x:c>
      <x:c r="T289" s="20" t="str">
        <x:f>IF(A289="","",S289+R289)</x:f>
      </x:c>
    </x:row>
    <x:row r="290">
      <x:c r="A290" s="26"/>
      <x:c r="B290" s="26" t="str">
        <x:f>IF(A290="","",A290-MOD(WEEKDAY(A290,2)-5,7))</x:f>
      </x:c>
      <x:c r="C290" s="26" t="str">
        <x:f>IF(B290="","",B290+7)</x:f>
      </x:c>
      <x:c r="D290" t="str">
        <x:f>IF(A290="","",TEXT(A290,"dddd"))</x:f>
      </x:c>
      <x:c r="E290" s="24"/>
      <x:c r="F290" s="24"/>
      <x:c r="G290" s="32" t="n">
        <x:f>IF(AND(E290&lt;Settings!$B$11,F290&gt;Settings!$B$11),Settings!$B$12,0)</x:f>
        <x:v>0</x:v>
      </x:c>
      <x:c r="H290" s="32" t="n">
        <x:f>IF(AND(E290&lt;Settings!$B$13,F290&gt;Settings!$B$13),Settings!$B$14,0)</x:f>
        <x:v>0</x:v>
      </x:c>
      <x:c r="I290" s="32" t="str">
        <x:f>IF(A290="","",G290+H290)</x:f>
      </x:c>
      <x:c r="J290" s="22" t="str">
        <x:f>IF(A290="","",((F290-E290)*24)-(I290/60))</x:f>
      </x:c>
      <x:c r="K290" s="22" t="str">
        <x:f>IF(A290="","",MIN(J290,8))</x:f>
      </x:c>
      <x:c r="L290" s="22" t="str">
        <x:f>IF(A290="","",MAX(J290-8,0))</x:f>
      </x:c>
      <x:c r="M290" s="20" t="str">
        <x:f>IF(A290="","",K290*Settings!$B$5)</x:f>
      </x:c>
      <x:c r="N290" s="20" t="str">
        <x:f>IF(A290="","",L290*Settings!$B$6)</x:f>
      </x:c>
      <x:c r="O290" s="22"/>
      <x:c r="P290" s="22"/>
      <x:c r="Q290" s="22" t="str">
        <x:f>IF(A290="","",MAX(O290-Settings!$B$7,0))</x:f>
      </x:c>
      <x:c r="R290" s="20" t="str">
        <x:f>IF(A290="","",Q290*Settings!$B$8)</x:f>
      </x:c>
      <x:c r="S290" s="20" t="str">
        <x:f>IF(A290="","",M290+N290)</x:f>
      </x:c>
      <x:c r="T290" s="20" t="str">
        <x:f>IF(A290="","",S290+R290)</x:f>
      </x:c>
    </x:row>
    <x:row r="291">
      <x:c r="A291" s="26"/>
      <x:c r="B291" s="26" t="str">
        <x:f>IF(A291="","",A291-MOD(WEEKDAY(A291,2)-5,7))</x:f>
      </x:c>
      <x:c r="C291" s="26" t="str">
        <x:f>IF(B291="","",B291+7)</x:f>
      </x:c>
      <x:c r="D291" t="str">
        <x:f>IF(A291="","",TEXT(A291,"dddd"))</x:f>
      </x:c>
      <x:c r="E291" s="24"/>
      <x:c r="F291" s="24"/>
      <x:c r="G291" s="32" t="n">
        <x:f>IF(AND(E291&lt;Settings!$B$11,F291&gt;Settings!$B$11),Settings!$B$12,0)</x:f>
        <x:v>0</x:v>
      </x:c>
      <x:c r="H291" s="32" t="n">
        <x:f>IF(AND(E291&lt;Settings!$B$13,F291&gt;Settings!$B$13),Settings!$B$14,0)</x:f>
        <x:v>0</x:v>
      </x:c>
      <x:c r="I291" s="32" t="str">
        <x:f>IF(A291="","",G291+H291)</x:f>
      </x:c>
      <x:c r="J291" s="22" t="str">
        <x:f>IF(A291="","",((F291-E291)*24)-(I291/60))</x:f>
      </x:c>
      <x:c r="K291" s="22" t="str">
        <x:f>IF(A291="","",MIN(J291,8))</x:f>
      </x:c>
      <x:c r="L291" s="22" t="str">
        <x:f>IF(A291="","",MAX(J291-8,0))</x:f>
      </x:c>
      <x:c r="M291" s="20" t="str">
        <x:f>IF(A291="","",K291*Settings!$B$5)</x:f>
      </x:c>
      <x:c r="N291" s="20" t="str">
        <x:f>IF(A291="","",L291*Settings!$B$6)</x:f>
      </x:c>
      <x:c r="O291" s="22"/>
      <x:c r="P291" s="22"/>
      <x:c r="Q291" s="22" t="str">
        <x:f>IF(A291="","",MAX(O291-Settings!$B$7,0))</x:f>
      </x:c>
      <x:c r="R291" s="20" t="str">
        <x:f>IF(A291="","",Q291*Settings!$B$8)</x:f>
      </x:c>
      <x:c r="S291" s="20" t="str">
        <x:f>IF(A291="","",M291+N291)</x:f>
      </x:c>
      <x:c r="T291" s="20" t="str">
        <x:f>IF(A291="","",S291+R291)</x:f>
      </x:c>
    </x:row>
    <x:row r="292">
      <x:c r="A292" s="26"/>
      <x:c r="B292" s="26" t="str">
        <x:f>IF(A292="","",A292-MOD(WEEKDAY(A292,2)-5,7))</x:f>
      </x:c>
      <x:c r="C292" s="26" t="str">
        <x:f>IF(B292="","",B292+7)</x:f>
      </x:c>
      <x:c r="D292" t="str">
        <x:f>IF(A292="","",TEXT(A292,"dddd"))</x:f>
      </x:c>
      <x:c r="E292" s="24"/>
      <x:c r="F292" s="24"/>
      <x:c r="G292" s="32" t="n">
        <x:f>IF(AND(E292&lt;Settings!$B$11,F292&gt;Settings!$B$11),Settings!$B$12,0)</x:f>
        <x:v>0</x:v>
      </x:c>
      <x:c r="H292" s="32" t="n">
        <x:f>IF(AND(E292&lt;Settings!$B$13,F292&gt;Settings!$B$13),Settings!$B$14,0)</x:f>
        <x:v>0</x:v>
      </x:c>
      <x:c r="I292" s="32" t="str">
        <x:f>IF(A292="","",G292+H292)</x:f>
      </x:c>
      <x:c r="J292" s="22" t="str">
        <x:f>IF(A292="","",((F292-E292)*24)-(I292/60))</x:f>
      </x:c>
      <x:c r="K292" s="22" t="str">
        <x:f>IF(A292="","",MIN(J292,8))</x:f>
      </x:c>
      <x:c r="L292" s="22" t="str">
        <x:f>IF(A292="","",MAX(J292-8,0))</x:f>
      </x:c>
      <x:c r="M292" s="20" t="str">
        <x:f>IF(A292="","",K292*Settings!$B$5)</x:f>
      </x:c>
      <x:c r="N292" s="20" t="str">
        <x:f>IF(A292="","",L292*Settings!$B$6)</x:f>
      </x:c>
      <x:c r="O292" s="22"/>
      <x:c r="P292" s="22"/>
      <x:c r="Q292" s="22" t="str">
        <x:f>IF(A292="","",MAX(O292-Settings!$B$7,0))</x:f>
      </x:c>
      <x:c r="R292" s="20" t="str">
        <x:f>IF(A292="","",Q292*Settings!$B$8)</x:f>
      </x:c>
      <x:c r="S292" s="20" t="str">
        <x:f>IF(A292="","",M292+N292)</x:f>
      </x:c>
      <x:c r="T292" s="20" t="str">
        <x:f>IF(A292="","",S292+R292)</x:f>
      </x:c>
    </x:row>
    <x:row r="293">
      <x:c r="A293" s="26"/>
      <x:c r="B293" s="26" t="str">
        <x:f>IF(A293="","",A293-MOD(WEEKDAY(A293,2)-5,7))</x:f>
      </x:c>
      <x:c r="C293" s="26" t="str">
        <x:f>IF(B293="","",B293+7)</x:f>
      </x:c>
      <x:c r="D293" t="str">
        <x:f>IF(A293="","",TEXT(A293,"dddd"))</x:f>
      </x:c>
      <x:c r="E293" s="24"/>
      <x:c r="F293" s="24"/>
      <x:c r="G293" s="32" t="n">
        <x:f>IF(AND(E293&lt;Settings!$B$11,F293&gt;Settings!$B$11),Settings!$B$12,0)</x:f>
        <x:v>0</x:v>
      </x:c>
      <x:c r="H293" s="32" t="n">
        <x:f>IF(AND(E293&lt;Settings!$B$13,F293&gt;Settings!$B$13),Settings!$B$14,0)</x:f>
        <x:v>0</x:v>
      </x:c>
      <x:c r="I293" s="32" t="str">
        <x:f>IF(A293="","",G293+H293)</x:f>
      </x:c>
      <x:c r="J293" s="22" t="str">
        <x:f>IF(A293="","",((F293-E293)*24)-(I293/60))</x:f>
      </x:c>
      <x:c r="K293" s="22" t="str">
        <x:f>IF(A293="","",MIN(J293,8))</x:f>
      </x:c>
      <x:c r="L293" s="22" t="str">
        <x:f>IF(A293="","",MAX(J293-8,0))</x:f>
      </x:c>
      <x:c r="M293" s="20" t="str">
        <x:f>IF(A293="","",K293*Settings!$B$5)</x:f>
      </x:c>
      <x:c r="N293" s="20" t="str">
        <x:f>IF(A293="","",L293*Settings!$B$6)</x:f>
      </x:c>
      <x:c r="O293" s="22"/>
      <x:c r="P293" s="22"/>
      <x:c r="Q293" s="22" t="str">
        <x:f>IF(A293="","",MAX(O293-Settings!$B$7,0))</x:f>
      </x:c>
      <x:c r="R293" s="20" t="str">
        <x:f>IF(A293="","",Q293*Settings!$B$8)</x:f>
      </x:c>
      <x:c r="S293" s="20" t="str">
        <x:f>IF(A293="","",M293+N293)</x:f>
      </x:c>
      <x:c r="T293" s="20" t="str">
        <x:f>IF(A293="","",S293+R293)</x:f>
      </x:c>
    </x:row>
    <x:row r="294">
      <x:c r="A294" s="26"/>
      <x:c r="B294" s="26" t="str">
        <x:f>IF(A294="","",A294-MOD(WEEKDAY(A294,2)-5,7))</x:f>
      </x:c>
      <x:c r="C294" s="26" t="str">
        <x:f>IF(B294="","",B294+7)</x:f>
      </x:c>
      <x:c r="D294" t="str">
        <x:f>IF(A294="","",TEXT(A294,"dddd"))</x:f>
      </x:c>
      <x:c r="E294" s="24"/>
      <x:c r="F294" s="24"/>
      <x:c r="G294" s="32" t="n">
        <x:f>IF(AND(E294&lt;Settings!$B$11,F294&gt;Settings!$B$11),Settings!$B$12,0)</x:f>
        <x:v>0</x:v>
      </x:c>
      <x:c r="H294" s="32" t="n">
        <x:f>IF(AND(E294&lt;Settings!$B$13,F294&gt;Settings!$B$13),Settings!$B$14,0)</x:f>
        <x:v>0</x:v>
      </x:c>
      <x:c r="I294" s="32" t="str">
        <x:f>IF(A294="","",G294+H294)</x:f>
      </x:c>
      <x:c r="J294" s="22" t="str">
        <x:f>IF(A294="","",((F294-E294)*24)-(I294/60))</x:f>
      </x:c>
      <x:c r="K294" s="22" t="str">
        <x:f>IF(A294="","",MIN(J294,8))</x:f>
      </x:c>
      <x:c r="L294" s="22" t="str">
        <x:f>IF(A294="","",MAX(J294-8,0))</x:f>
      </x:c>
      <x:c r="M294" s="20" t="str">
        <x:f>IF(A294="","",K294*Settings!$B$5)</x:f>
      </x:c>
      <x:c r="N294" s="20" t="str">
        <x:f>IF(A294="","",L294*Settings!$B$6)</x:f>
      </x:c>
      <x:c r="O294" s="22"/>
      <x:c r="P294" s="22"/>
      <x:c r="Q294" s="22" t="str">
        <x:f>IF(A294="","",MAX(O294-Settings!$B$7,0))</x:f>
      </x:c>
      <x:c r="R294" s="20" t="str">
        <x:f>IF(A294="","",Q294*Settings!$B$8)</x:f>
      </x:c>
      <x:c r="S294" s="20" t="str">
        <x:f>IF(A294="","",M294+N294)</x:f>
      </x:c>
      <x:c r="T294" s="20" t="str">
        <x:f>IF(A294="","",S294+R294)</x:f>
      </x:c>
    </x:row>
    <x:row r="295">
      <x:c r="A295" s="26"/>
      <x:c r="B295" s="26" t="str">
        <x:f>IF(A295="","",A295-MOD(WEEKDAY(A295,2)-5,7))</x:f>
      </x:c>
      <x:c r="C295" s="26" t="str">
        <x:f>IF(B295="","",B295+7)</x:f>
      </x:c>
      <x:c r="D295" t="str">
        <x:f>IF(A295="","",TEXT(A295,"dddd"))</x:f>
      </x:c>
      <x:c r="E295" s="24"/>
      <x:c r="F295" s="24"/>
      <x:c r="G295" s="32" t="n">
        <x:f>IF(AND(E295&lt;Settings!$B$11,F295&gt;Settings!$B$11),Settings!$B$12,0)</x:f>
        <x:v>0</x:v>
      </x:c>
      <x:c r="H295" s="32" t="n">
        <x:f>IF(AND(E295&lt;Settings!$B$13,F295&gt;Settings!$B$13),Settings!$B$14,0)</x:f>
        <x:v>0</x:v>
      </x:c>
      <x:c r="I295" s="32" t="str">
        <x:f>IF(A295="","",G295+H295)</x:f>
      </x:c>
      <x:c r="J295" s="22" t="str">
        <x:f>IF(A295="","",((F295-E295)*24)-(I295/60))</x:f>
      </x:c>
      <x:c r="K295" s="22" t="str">
        <x:f>IF(A295="","",MIN(J295,8))</x:f>
      </x:c>
      <x:c r="L295" s="22" t="str">
        <x:f>IF(A295="","",MAX(J295-8,0))</x:f>
      </x:c>
      <x:c r="M295" s="20" t="str">
        <x:f>IF(A295="","",K295*Settings!$B$5)</x:f>
      </x:c>
      <x:c r="N295" s="20" t="str">
        <x:f>IF(A295="","",L295*Settings!$B$6)</x:f>
      </x:c>
      <x:c r="O295" s="22"/>
      <x:c r="P295" s="22"/>
      <x:c r="Q295" s="22" t="str">
        <x:f>IF(A295="","",MAX(O295-Settings!$B$7,0))</x:f>
      </x:c>
      <x:c r="R295" s="20" t="str">
        <x:f>IF(A295="","",Q295*Settings!$B$8)</x:f>
      </x:c>
      <x:c r="S295" s="20" t="str">
        <x:f>IF(A295="","",M295+N295)</x:f>
      </x:c>
      <x:c r="T295" s="20" t="str">
        <x:f>IF(A295="","",S295+R295)</x:f>
      </x:c>
    </x:row>
    <x:row r="296">
      <x:c r="A296" s="26"/>
      <x:c r="B296" s="26" t="str">
        <x:f>IF(A296="","",A296-MOD(WEEKDAY(A296,2)-5,7))</x:f>
      </x:c>
      <x:c r="C296" s="26" t="str">
        <x:f>IF(B296="","",B296+7)</x:f>
      </x:c>
      <x:c r="D296" t="str">
        <x:f>IF(A296="","",TEXT(A296,"dddd"))</x:f>
      </x:c>
      <x:c r="E296" s="24"/>
      <x:c r="F296" s="24"/>
      <x:c r="G296" s="32" t="n">
        <x:f>IF(AND(E296&lt;Settings!$B$11,F296&gt;Settings!$B$11),Settings!$B$12,0)</x:f>
        <x:v>0</x:v>
      </x:c>
      <x:c r="H296" s="32" t="n">
        <x:f>IF(AND(E296&lt;Settings!$B$13,F296&gt;Settings!$B$13),Settings!$B$14,0)</x:f>
        <x:v>0</x:v>
      </x:c>
      <x:c r="I296" s="32" t="str">
        <x:f>IF(A296="","",G296+H296)</x:f>
      </x:c>
      <x:c r="J296" s="22" t="str">
        <x:f>IF(A296="","",((F296-E296)*24)-(I296/60))</x:f>
      </x:c>
      <x:c r="K296" s="22" t="str">
        <x:f>IF(A296="","",MIN(J296,8))</x:f>
      </x:c>
      <x:c r="L296" s="22" t="str">
        <x:f>IF(A296="","",MAX(J296-8,0))</x:f>
      </x:c>
      <x:c r="M296" s="20" t="str">
        <x:f>IF(A296="","",K296*Settings!$B$5)</x:f>
      </x:c>
      <x:c r="N296" s="20" t="str">
        <x:f>IF(A296="","",L296*Settings!$B$6)</x:f>
      </x:c>
      <x:c r="O296" s="22"/>
      <x:c r="P296" s="22"/>
      <x:c r="Q296" s="22" t="str">
        <x:f>IF(A296="","",MAX(O296-Settings!$B$7,0))</x:f>
      </x:c>
      <x:c r="R296" s="20" t="str">
        <x:f>IF(A296="","",Q296*Settings!$B$8)</x:f>
      </x:c>
      <x:c r="S296" s="20" t="str">
        <x:f>IF(A296="","",M296+N296)</x:f>
      </x:c>
      <x:c r="T296" s="20" t="str">
        <x:f>IF(A296="","",S296+R296)</x:f>
      </x:c>
    </x:row>
    <x:row r="297">
      <x:c r="A297" s="26"/>
      <x:c r="B297" s="26" t="str">
        <x:f>IF(A297="","",A297-MOD(WEEKDAY(A297,2)-5,7))</x:f>
      </x:c>
      <x:c r="C297" s="26" t="str">
        <x:f>IF(B297="","",B297+7)</x:f>
      </x:c>
      <x:c r="D297" t="str">
        <x:f>IF(A297="","",TEXT(A297,"dddd"))</x:f>
      </x:c>
      <x:c r="E297" s="24"/>
      <x:c r="F297" s="24"/>
      <x:c r="G297" s="32" t="n">
        <x:f>IF(AND(E297&lt;Settings!$B$11,F297&gt;Settings!$B$11),Settings!$B$12,0)</x:f>
        <x:v>0</x:v>
      </x:c>
      <x:c r="H297" s="32" t="n">
        <x:f>IF(AND(E297&lt;Settings!$B$13,F297&gt;Settings!$B$13),Settings!$B$14,0)</x:f>
        <x:v>0</x:v>
      </x:c>
      <x:c r="I297" s="32" t="str">
        <x:f>IF(A297="","",G297+H297)</x:f>
      </x:c>
      <x:c r="J297" s="22" t="str">
        <x:f>IF(A297="","",((F297-E297)*24)-(I297/60))</x:f>
      </x:c>
      <x:c r="K297" s="22" t="str">
        <x:f>IF(A297="","",MIN(J297,8))</x:f>
      </x:c>
      <x:c r="L297" s="22" t="str">
        <x:f>IF(A297="","",MAX(J297-8,0))</x:f>
      </x:c>
      <x:c r="M297" s="20" t="str">
        <x:f>IF(A297="","",K297*Settings!$B$5)</x:f>
      </x:c>
      <x:c r="N297" s="20" t="str">
        <x:f>IF(A297="","",L297*Settings!$B$6)</x:f>
      </x:c>
      <x:c r="O297" s="22"/>
      <x:c r="P297" s="22"/>
      <x:c r="Q297" s="22" t="str">
        <x:f>IF(A297="","",MAX(O297-Settings!$B$7,0))</x:f>
      </x:c>
      <x:c r="R297" s="20" t="str">
        <x:f>IF(A297="","",Q297*Settings!$B$8)</x:f>
      </x:c>
      <x:c r="S297" s="20" t="str">
        <x:f>IF(A297="","",M297+N297)</x:f>
      </x:c>
      <x:c r="T297" s="20" t="str">
        <x:f>IF(A297="","",S297+R297)</x:f>
      </x:c>
    </x:row>
    <x:row r="298">
      <x:c r="A298" s="26"/>
      <x:c r="B298" s="26" t="str">
        <x:f>IF(A298="","",A298-MOD(WEEKDAY(A298,2)-5,7))</x:f>
      </x:c>
      <x:c r="C298" s="26" t="str">
        <x:f>IF(B298="","",B298+7)</x:f>
      </x:c>
      <x:c r="D298" t="str">
        <x:f>IF(A298="","",TEXT(A298,"dddd"))</x:f>
      </x:c>
      <x:c r="E298" s="24"/>
      <x:c r="F298" s="24"/>
      <x:c r="G298" s="32" t="n">
        <x:f>IF(AND(E298&lt;Settings!$B$11,F298&gt;Settings!$B$11),Settings!$B$12,0)</x:f>
        <x:v>0</x:v>
      </x:c>
      <x:c r="H298" s="32" t="n">
        <x:f>IF(AND(E298&lt;Settings!$B$13,F298&gt;Settings!$B$13),Settings!$B$14,0)</x:f>
        <x:v>0</x:v>
      </x:c>
      <x:c r="I298" s="32" t="str">
        <x:f>IF(A298="","",G298+H298)</x:f>
      </x:c>
      <x:c r="J298" s="22" t="str">
        <x:f>IF(A298="","",((F298-E298)*24)-(I298/60))</x:f>
      </x:c>
      <x:c r="K298" s="22" t="str">
        <x:f>IF(A298="","",MIN(J298,8))</x:f>
      </x:c>
      <x:c r="L298" s="22" t="str">
        <x:f>IF(A298="","",MAX(J298-8,0))</x:f>
      </x:c>
      <x:c r="M298" s="20" t="str">
        <x:f>IF(A298="","",K298*Settings!$B$5)</x:f>
      </x:c>
      <x:c r="N298" s="20" t="str">
        <x:f>IF(A298="","",L298*Settings!$B$6)</x:f>
      </x:c>
      <x:c r="O298" s="22"/>
      <x:c r="P298" s="22"/>
      <x:c r="Q298" s="22" t="str">
        <x:f>IF(A298="","",MAX(O298-Settings!$B$7,0))</x:f>
      </x:c>
      <x:c r="R298" s="20" t="str">
        <x:f>IF(A298="","",Q298*Settings!$B$8)</x:f>
      </x:c>
      <x:c r="S298" s="20" t="str">
        <x:f>IF(A298="","",M298+N298)</x:f>
      </x:c>
      <x:c r="T298" s="20" t="str">
        <x:f>IF(A298="","",S298+R298)</x:f>
      </x:c>
    </x:row>
    <x:row r="299">
      <x:c r="A299" s="26"/>
      <x:c r="B299" s="26" t="str">
        <x:f>IF(A299="","",A299-MOD(WEEKDAY(A299,2)-5,7))</x:f>
      </x:c>
      <x:c r="C299" s="26" t="str">
        <x:f>IF(B299="","",B299+7)</x:f>
      </x:c>
      <x:c r="D299" t="str">
        <x:f>IF(A299="","",TEXT(A299,"dddd"))</x:f>
      </x:c>
      <x:c r="E299" s="24"/>
      <x:c r="F299" s="24"/>
      <x:c r="G299" s="32" t="n">
        <x:f>IF(AND(E299&lt;Settings!$B$11,F299&gt;Settings!$B$11),Settings!$B$12,0)</x:f>
        <x:v>0</x:v>
      </x:c>
      <x:c r="H299" s="32" t="n">
        <x:f>IF(AND(E299&lt;Settings!$B$13,F299&gt;Settings!$B$13),Settings!$B$14,0)</x:f>
        <x:v>0</x:v>
      </x:c>
      <x:c r="I299" s="32" t="str">
        <x:f>IF(A299="","",G299+H299)</x:f>
      </x:c>
      <x:c r="J299" s="22" t="str">
        <x:f>IF(A299="","",((F299-E299)*24)-(I299/60))</x:f>
      </x:c>
      <x:c r="K299" s="22" t="str">
        <x:f>IF(A299="","",MIN(J299,8))</x:f>
      </x:c>
      <x:c r="L299" s="22" t="str">
        <x:f>IF(A299="","",MAX(J299-8,0))</x:f>
      </x:c>
      <x:c r="M299" s="20" t="str">
        <x:f>IF(A299="","",K299*Settings!$B$5)</x:f>
      </x:c>
      <x:c r="N299" s="20" t="str">
        <x:f>IF(A299="","",L299*Settings!$B$6)</x:f>
      </x:c>
      <x:c r="O299" s="22"/>
      <x:c r="P299" s="22"/>
      <x:c r="Q299" s="22" t="str">
        <x:f>IF(A299="","",MAX(O299-Settings!$B$7,0))</x:f>
      </x:c>
      <x:c r="R299" s="20" t="str">
        <x:f>IF(A299="","",Q299*Settings!$B$8)</x:f>
      </x:c>
      <x:c r="S299" s="20" t="str">
        <x:f>IF(A299="","",M299+N299)</x:f>
      </x:c>
      <x:c r="T299" s="20" t="str">
        <x:f>IF(A299="","",S299+R299)</x:f>
      </x:c>
    </x:row>
    <x:row r="300">
      <x:c r="A300" s="26"/>
      <x:c r="B300" s="26" t="str">
        <x:f>IF(A300="","",A300-MOD(WEEKDAY(A300,2)-5,7))</x:f>
      </x:c>
      <x:c r="C300" s="26" t="str">
        <x:f>IF(B300="","",B300+7)</x:f>
      </x:c>
      <x:c r="D300" t="str">
        <x:f>IF(A300="","",TEXT(A300,"dddd"))</x:f>
      </x:c>
      <x:c r="E300" s="24"/>
      <x:c r="F300" s="24"/>
      <x:c r="G300" s="32" t="n">
        <x:f>IF(AND(E300&lt;Settings!$B$11,F300&gt;Settings!$B$11),Settings!$B$12,0)</x:f>
        <x:v>0</x:v>
      </x:c>
      <x:c r="H300" s="32" t="n">
        <x:f>IF(AND(E300&lt;Settings!$B$13,F300&gt;Settings!$B$13),Settings!$B$14,0)</x:f>
        <x:v>0</x:v>
      </x:c>
      <x:c r="I300" s="32" t="str">
        <x:f>IF(A300="","",G300+H300)</x:f>
      </x:c>
      <x:c r="J300" s="22" t="str">
        <x:f>IF(A300="","",((F300-E300)*24)-(I300/60))</x:f>
      </x:c>
      <x:c r="K300" s="22" t="str">
        <x:f>IF(A300="","",MIN(J300,8))</x:f>
      </x:c>
      <x:c r="L300" s="22" t="str">
        <x:f>IF(A300="","",MAX(J300-8,0))</x:f>
      </x:c>
      <x:c r="M300" s="20" t="str">
        <x:f>IF(A300="","",K300*Settings!$B$5)</x:f>
      </x:c>
      <x:c r="N300" s="20" t="str">
        <x:f>IF(A300="","",L300*Settings!$B$6)</x:f>
      </x:c>
      <x:c r="O300" s="22"/>
      <x:c r="P300" s="22"/>
      <x:c r="Q300" s="22" t="str">
        <x:f>IF(A300="","",MAX(O300-Settings!$B$7,0))</x:f>
      </x:c>
      <x:c r="R300" s="20" t="str">
        <x:f>IF(A300="","",Q300*Settings!$B$8)</x:f>
      </x:c>
      <x:c r="S300" s="20" t="str">
        <x:f>IF(A300="","",M300+N300)</x:f>
      </x:c>
      <x:c r="T300" s="20" t="str">
        <x:f>IF(A300="","",S300+R300)</x:f>
      </x:c>
    </x:row>
    <x:row r="301">
      <x:c r="A301" s="26"/>
      <x:c r="B301" s="26" t="str">
        <x:f>IF(A301="","",A301-MOD(WEEKDAY(A301,2)-5,7))</x:f>
      </x:c>
      <x:c r="C301" s="26" t="str">
        <x:f>IF(B301="","",B301+7)</x:f>
      </x:c>
      <x:c r="D301" t="str">
        <x:f>IF(A301="","",TEXT(A301,"dddd"))</x:f>
      </x:c>
      <x:c r="E301" s="24"/>
      <x:c r="F301" s="24"/>
      <x:c r="G301" s="32" t="n">
        <x:f>IF(AND(E301&lt;Settings!$B$11,F301&gt;Settings!$B$11),Settings!$B$12,0)</x:f>
        <x:v>0</x:v>
      </x:c>
      <x:c r="H301" s="32" t="n">
        <x:f>IF(AND(E301&lt;Settings!$B$13,F301&gt;Settings!$B$13),Settings!$B$14,0)</x:f>
        <x:v>0</x:v>
      </x:c>
      <x:c r="I301" s="32" t="str">
        <x:f>IF(A301="","",G301+H301)</x:f>
      </x:c>
      <x:c r="J301" s="22" t="str">
        <x:f>IF(A301="","",((F301-E301)*24)-(I301/60))</x:f>
      </x:c>
      <x:c r="K301" s="22" t="str">
        <x:f>IF(A301="","",MIN(J301,8))</x:f>
      </x:c>
      <x:c r="L301" s="22" t="str">
        <x:f>IF(A301="","",MAX(J301-8,0))</x:f>
      </x:c>
      <x:c r="M301" s="20" t="str">
        <x:f>IF(A301="","",K301*Settings!$B$5)</x:f>
      </x:c>
      <x:c r="N301" s="20" t="str">
        <x:f>IF(A301="","",L301*Settings!$B$6)</x:f>
      </x:c>
      <x:c r="O301" s="22"/>
      <x:c r="P301" s="22"/>
      <x:c r="Q301" s="22" t="str">
        <x:f>IF(A301="","",MAX(O301-Settings!$B$7,0))</x:f>
      </x:c>
      <x:c r="R301" s="20" t="str">
        <x:f>IF(A301="","",Q301*Settings!$B$8)</x:f>
      </x:c>
      <x:c r="S301" s="20" t="str">
        <x:f>IF(A301="","",M301+N301)</x:f>
      </x:c>
      <x:c r="T301" s="20" t="str">
        <x:f>IF(A301="","",S301+R301)</x:f>
      </x:c>
    </x:row>
    <x:row r="302">
      <x:c r="A302" s="26"/>
      <x:c r="B302" s="26" t="str">
        <x:f>IF(A302="","",A302-MOD(WEEKDAY(A302,2)-5,7))</x:f>
      </x:c>
      <x:c r="C302" s="26" t="str">
        <x:f>IF(B302="","",B302+7)</x:f>
      </x:c>
      <x:c r="D302" t="str">
        <x:f>IF(A302="","",TEXT(A302,"dddd"))</x:f>
      </x:c>
      <x:c r="E302" s="24"/>
      <x:c r="F302" s="24"/>
      <x:c r="G302" s="32" t="n">
        <x:f>IF(AND(E302&lt;Settings!$B$11,F302&gt;Settings!$B$11),Settings!$B$12,0)</x:f>
        <x:v>0</x:v>
      </x:c>
      <x:c r="H302" s="32" t="n">
        <x:f>IF(AND(E302&lt;Settings!$B$13,F302&gt;Settings!$B$13),Settings!$B$14,0)</x:f>
        <x:v>0</x:v>
      </x:c>
      <x:c r="I302" s="32" t="str">
        <x:f>IF(A302="","",G302+H302)</x:f>
      </x:c>
      <x:c r="J302" s="22" t="str">
        <x:f>IF(A302="","",((F302-E302)*24)-(I302/60))</x:f>
      </x:c>
      <x:c r="K302" s="22" t="str">
        <x:f>IF(A302="","",MIN(J302,8))</x:f>
      </x:c>
      <x:c r="L302" s="22" t="str">
        <x:f>IF(A302="","",MAX(J302-8,0))</x:f>
      </x:c>
      <x:c r="M302" s="20" t="str">
        <x:f>IF(A302="","",K302*Settings!$B$5)</x:f>
      </x:c>
      <x:c r="N302" s="20" t="str">
        <x:f>IF(A302="","",L302*Settings!$B$6)</x:f>
      </x:c>
      <x:c r="O302" s="22"/>
      <x:c r="P302" s="22"/>
      <x:c r="Q302" s="22" t="str">
        <x:f>IF(A302="","",MAX(O302-Settings!$B$7,0))</x:f>
      </x:c>
      <x:c r="R302" s="20" t="str">
        <x:f>IF(A302="","",Q302*Settings!$B$8)</x:f>
      </x:c>
      <x:c r="S302" s="20" t="str">
        <x:f>IF(A302="","",M302+N302)</x:f>
      </x:c>
      <x:c r="T302" s="20" t="str">
        <x:f>IF(A302="","",S302+R302)</x:f>
      </x:c>
    </x:row>
    <x:row r="303">
      <x:c r="A303" s="26"/>
      <x:c r="B303" s="26" t="str">
        <x:f>IF(A303="","",A303-MOD(WEEKDAY(A303,2)-5,7))</x:f>
      </x:c>
      <x:c r="C303" s="26" t="str">
        <x:f>IF(B303="","",B303+7)</x:f>
      </x:c>
      <x:c r="D303" t="str">
        <x:f>IF(A303="","",TEXT(A303,"dddd"))</x:f>
      </x:c>
      <x:c r="E303" s="24"/>
      <x:c r="F303" s="24"/>
      <x:c r="G303" s="32" t="n">
        <x:f>IF(AND(E303&lt;Settings!$B$11,F303&gt;Settings!$B$11),Settings!$B$12,0)</x:f>
        <x:v>0</x:v>
      </x:c>
      <x:c r="H303" s="32" t="n">
        <x:f>IF(AND(E303&lt;Settings!$B$13,F303&gt;Settings!$B$13),Settings!$B$14,0)</x:f>
        <x:v>0</x:v>
      </x:c>
      <x:c r="I303" s="32" t="str">
        <x:f>IF(A303="","",G303+H303)</x:f>
      </x:c>
      <x:c r="J303" s="22" t="str">
        <x:f>IF(A303="","",((F303-E303)*24)-(I303/60))</x:f>
      </x:c>
      <x:c r="K303" s="22" t="str">
        <x:f>IF(A303="","",MIN(J303,8))</x:f>
      </x:c>
      <x:c r="L303" s="22" t="str">
        <x:f>IF(A303="","",MAX(J303-8,0))</x:f>
      </x:c>
      <x:c r="M303" s="20" t="str">
        <x:f>IF(A303="","",K303*Settings!$B$5)</x:f>
      </x:c>
      <x:c r="N303" s="20" t="str">
        <x:f>IF(A303="","",L303*Settings!$B$6)</x:f>
      </x:c>
      <x:c r="O303" s="22"/>
      <x:c r="P303" s="22"/>
      <x:c r="Q303" s="22" t="str">
        <x:f>IF(A303="","",MAX(O303-Settings!$B$7,0))</x:f>
      </x:c>
      <x:c r="R303" s="20" t="str">
        <x:f>IF(A303="","",Q303*Settings!$B$8)</x:f>
      </x:c>
      <x:c r="S303" s="20" t="str">
        <x:f>IF(A303="","",M303+N303)</x:f>
      </x:c>
      <x:c r="T303" s="20" t="str">
        <x:f>IF(A303="","",S303+R303)</x:f>
      </x:c>
    </x:row>
    <x:row r="304">
      <x:c r="A304" s="26"/>
      <x:c r="B304" s="26" t="str">
        <x:f>IF(A304="","",A304-MOD(WEEKDAY(A304,2)-5,7))</x:f>
      </x:c>
      <x:c r="C304" s="26" t="str">
        <x:f>IF(B304="","",B304+7)</x:f>
      </x:c>
      <x:c r="D304" t="str">
        <x:f>IF(A304="","",TEXT(A304,"dddd"))</x:f>
      </x:c>
      <x:c r="E304" s="24"/>
      <x:c r="F304" s="24"/>
      <x:c r="G304" s="32" t="n">
        <x:f>IF(AND(E304&lt;Settings!$B$11,F304&gt;Settings!$B$11),Settings!$B$12,0)</x:f>
        <x:v>0</x:v>
      </x:c>
      <x:c r="H304" s="32" t="n">
        <x:f>IF(AND(E304&lt;Settings!$B$13,F304&gt;Settings!$B$13),Settings!$B$14,0)</x:f>
        <x:v>0</x:v>
      </x:c>
      <x:c r="I304" s="32" t="str">
        <x:f>IF(A304="","",G304+H304)</x:f>
      </x:c>
      <x:c r="J304" s="22" t="str">
        <x:f>IF(A304="","",((F304-E304)*24)-(I304/60))</x:f>
      </x:c>
      <x:c r="K304" s="22" t="str">
        <x:f>IF(A304="","",MIN(J304,8))</x:f>
      </x:c>
      <x:c r="L304" s="22" t="str">
        <x:f>IF(A304="","",MAX(J304-8,0))</x:f>
      </x:c>
      <x:c r="M304" s="20" t="str">
        <x:f>IF(A304="","",K304*Settings!$B$5)</x:f>
      </x:c>
      <x:c r="N304" s="20" t="str">
        <x:f>IF(A304="","",L304*Settings!$B$6)</x:f>
      </x:c>
      <x:c r="O304" s="22"/>
      <x:c r="P304" s="22"/>
      <x:c r="Q304" s="22" t="str">
        <x:f>IF(A304="","",MAX(O304-Settings!$B$7,0))</x:f>
      </x:c>
      <x:c r="R304" s="20" t="str">
        <x:f>IF(A304="","",Q304*Settings!$B$8)</x:f>
      </x:c>
      <x:c r="S304" s="20" t="str">
        <x:f>IF(A304="","",M304+N304)</x:f>
      </x:c>
      <x:c r="T304" s="20" t="str">
        <x:f>IF(A304="","",S304+R304)</x:f>
      </x:c>
    </x:row>
    <x:row r="305">
      <x:c r="A305" s="26"/>
      <x:c r="B305" s="26" t="str">
        <x:f>IF(A305="","",A305-MOD(WEEKDAY(A305,2)-5,7))</x:f>
      </x:c>
      <x:c r="C305" s="26" t="str">
        <x:f>IF(B305="","",B305+7)</x:f>
      </x:c>
      <x:c r="D305" t="str">
        <x:f>IF(A305="","",TEXT(A305,"dddd"))</x:f>
      </x:c>
      <x:c r="E305" s="24"/>
      <x:c r="F305" s="24"/>
      <x:c r="G305" s="32" t="n">
        <x:f>IF(AND(E305&lt;Settings!$B$11,F305&gt;Settings!$B$11),Settings!$B$12,0)</x:f>
        <x:v>0</x:v>
      </x:c>
      <x:c r="H305" s="32" t="n">
        <x:f>IF(AND(E305&lt;Settings!$B$13,F305&gt;Settings!$B$13),Settings!$B$14,0)</x:f>
        <x:v>0</x:v>
      </x:c>
      <x:c r="I305" s="32" t="str">
        <x:f>IF(A305="","",G305+H305)</x:f>
      </x:c>
      <x:c r="J305" s="22" t="str">
        <x:f>IF(A305="","",((F305-E305)*24)-(I305/60))</x:f>
      </x:c>
      <x:c r="K305" s="22" t="str">
        <x:f>IF(A305="","",MIN(J305,8))</x:f>
      </x:c>
      <x:c r="L305" s="22" t="str">
        <x:f>IF(A305="","",MAX(J305-8,0))</x:f>
      </x:c>
      <x:c r="M305" s="20" t="str">
        <x:f>IF(A305="","",K305*Settings!$B$5)</x:f>
      </x:c>
      <x:c r="N305" s="20" t="str">
        <x:f>IF(A305="","",L305*Settings!$B$6)</x:f>
      </x:c>
      <x:c r="O305" s="22"/>
      <x:c r="P305" s="22"/>
      <x:c r="Q305" s="22" t="str">
        <x:f>IF(A305="","",MAX(O305-Settings!$B$7,0))</x:f>
      </x:c>
      <x:c r="R305" s="20" t="str">
        <x:f>IF(A305="","",Q305*Settings!$B$8)</x:f>
      </x:c>
      <x:c r="S305" s="20" t="str">
        <x:f>IF(A305="","",M305+N305)</x:f>
      </x:c>
      <x:c r="T305" s="20" t="str">
        <x:f>IF(A305="","",S305+R305)</x:f>
      </x:c>
    </x:row>
    <x:row r="306">
      <x:c r="A306" s="26"/>
      <x:c r="B306" s="26" t="str">
        <x:f>IF(A306="","",A306-MOD(WEEKDAY(A306,2)-5,7))</x:f>
      </x:c>
      <x:c r="C306" s="26" t="str">
        <x:f>IF(B306="","",B306+7)</x:f>
      </x:c>
      <x:c r="D306" t="str">
        <x:f>IF(A306="","",TEXT(A306,"dddd"))</x:f>
      </x:c>
      <x:c r="E306" s="24"/>
      <x:c r="F306" s="24"/>
      <x:c r="G306" s="32" t="n">
        <x:f>IF(AND(E306&lt;Settings!$B$11,F306&gt;Settings!$B$11),Settings!$B$12,0)</x:f>
        <x:v>0</x:v>
      </x:c>
      <x:c r="H306" s="32" t="n">
        <x:f>IF(AND(E306&lt;Settings!$B$13,F306&gt;Settings!$B$13),Settings!$B$14,0)</x:f>
        <x:v>0</x:v>
      </x:c>
      <x:c r="I306" s="32" t="str">
        <x:f>IF(A306="","",G306+H306)</x:f>
      </x:c>
      <x:c r="J306" s="22" t="str">
        <x:f>IF(A306="","",((F306-E306)*24)-(I306/60))</x:f>
      </x:c>
      <x:c r="K306" s="22" t="str">
        <x:f>IF(A306="","",MIN(J306,8))</x:f>
      </x:c>
      <x:c r="L306" s="22" t="str">
        <x:f>IF(A306="","",MAX(J306-8,0))</x:f>
      </x:c>
      <x:c r="M306" s="20" t="str">
        <x:f>IF(A306="","",K306*Settings!$B$5)</x:f>
      </x:c>
      <x:c r="N306" s="20" t="str">
        <x:f>IF(A306="","",L306*Settings!$B$6)</x:f>
      </x:c>
      <x:c r="O306" s="22"/>
      <x:c r="P306" s="22"/>
      <x:c r="Q306" s="22" t="str">
        <x:f>IF(A306="","",MAX(O306-Settings!$B$7,0))</x:f>
      </x:c>
      <x:c r="R306" s="20" t="str">
        <x:f>IF(A306="","",Q306*Settings!$B$8)</x:f>
      </x:c>
      <x:c r="S306" s="20" t="str">
        <x:f>IF(A306="","",M306+N306)</x:f>
      </x:c>
      <x:c r="T306" s="20" t="str">
        <x:f>IF(A306="","",S306+R306)</x:f>
      </x:c>
    </x:row>
    <x:row r="307">
      <x:c r="A307" s="26"/>
      <x:c r="B307" s="26" t="str">
        <x:f>IF(A307="","",A307-MOD(WEEKDAY(A307,2)-5,7))</x:f>
      </x:c>
      <x:c r="C307" s="26" t="str">
        <x:f>IF(B307="","",B307+7)</x:f>
      </x:c>
      <x:c r="D307" t="str">
        <x:f>IF(A307="","",TEXT(A307,"dddd"))</x:f>
      </x:c>
      <x:c r="E307" s="24"/>
      <x:c r="F307" s="24"/>
      <x:c r="G307" s="32" t="n">
        <x:f>IF(AND(E307&lt;Settings!$B$11,F307&gt;Settings!$B$11),Settings!$B$12,0)</x:f>
        <x:v>0</x:v>
      </x:c>
      <x:c r="H307" s="32" t="n">
        <x:f>IF(AND(E307&lt;Settings!$B$13,F307&gt;Settings!$B$13),Settings!$B$14,0)</x:f>
        <x:v>0</x:v>
      </x:c>
      <x:c r="I307" s="32" t="str">
        <x:f>IF(A307="","",G307+H307)</x:f>
      </x:c>
      <x:c r="J307" s="22" t="str">
        <x:f>IF(A307="","",((F307-E307)*24)-(I307/60))</x:f>
      </x:c>
      <x:c r="K307" s="22" t="str">
        <x:f>IF(A307="","",MIN(J307,8))</x:f>
      </x:c>
      <x:c r="L307" s="22" t="str">
        <x:f>IF(A307="","",MAX(J307-8,0))</x:f>
      </x:c>
      <x:c r="M307" s="20" t="str">
        <x:f>IF(A307="","",K307*Settings!$B$5)</x:f>
      </x:c>
      <x:c r="N307" s="20" t="str">
        <x:f>IF(A307="","",L307*Settings!$B$6)</x:f>
      </x:c>
      <x:c r="O307" s="22"/>
      <x:c r="P307" s="22"/>
      <x:c r="Q307" s="22" t="str">
        <x:f>IF(A307="","",MAX(O307-Settings!$B$7,0))</x:f>
      </x:c>
      <x:c r="R307" s="20" t="str">
        <x:f>IF(A307="","",Q307*Settings!$B$8)</x:f>
      </x:c>
      <x:c r="S307" s="20" t="str">
        <x:f>IF(A307="","",M307+N307)</x:f>
      </x:c>
      <x:c r="T307" s="20" t="str">
        <x:f>IF(A307="","",S307+R307)</x:f>
      </x:c>
    </x:row>
    <x:row r="308">
      <x:c r="A308" s="26"/>
      <x:c r="B308" s="26" t="str">
        <x:f>IF(A308="","",A308-MOD(WEEKDAY(A308,2)-5,7))</x:f>
      </x:c>
      <x:c r="C308" s="26" t="str">
        <x:f>IF(B308="","",B308+7)</x:f>
      </x:c>
      <x:c r="D308" t="str">
        <x:f>IF(A308="","",TEXT(A308,"dddd"))</x:f>
      </x:c>
      <x:c r="E308" s="24"/>
      <x:c r="F308" s="24"/>
      <x:c r="G308" s="32" t="n">
        <x:f>IF(AND(E308&lt;Settings!$B$11,F308&gt;Settings!$B$11),Settings!$B$12,0)</x:f>
        <x:v>0</x:v>
      </x:c>
      <x:c r="H308" s="32" t="n">
        <x:f>IF(AND(E308&lt;Settings!$B$13,F308&gt;Settings!$B$13),Settings!$B$14,0)</x:f>
        <x:v>0</x:v>
      </x:c>
      <x:c r="I308" s="32" t="str">
        <x:f>IF(A308="","",G308+H308)</x:f>
      </x:c>
      <x:c r="J308" s="22" t="str">
        <x:f>IF(A308="","",((F308-E308)*24)-(I308/60))</x:f>
      </x:c>
      <x:c r="K308" s="22" t="str">
        <x:f>IF(A308="","",MIN(J308,8))</x:f>
      </x:c>
      <x:c r="L308" s="22" t="str">
        <x:f>IF(A308="","",MAX(J308-8,0))</x:f>
      </x:c>
      <x:c r="M308" s="20" t="str">
        <x:f>IF(A308="","",K308*Settings!$B$5)</x:f>
      </x:c>
      <x:c r="N308" s="20" t="str">
        <x:f>IF(A308="","",L308*Settings!$B$6)</x:f>
      </x:c>
      <x:c r="O308" s="22"/>
      <x:c r="P308" s="22"/>
      <x:c r="Q308" s="22" t="str">
        <x:f>IF(A308="","",MAX(O308-Settings!$B$7,0))</x:f>
      </x:c>
      <x:c r="R308" s="20" t="str">
        <x:f>IF(A308="","",Q308*Settings!$B$8)</x:f>
      </x:c>
      <x:c r="S308" s="20" t="str">
        <x:f>IF(A308="","",M308+N308)</x:f>
      </x:c>
      <x:c r="T308" s="20" t="str">
        <x:f>IF(A308="","",S308+R308)</x:f>
      </x:c>
    </x:row>
    <x:row r="309">
      <x:c r="A309" s="26"/>
      <x:c r="B309" s="26" t="str">
        <x:f>IF(A309="","",A309-MOD(WEEKDAY(A309,2)-5,7))</x:f>
      </x:c>
      <x:c r="C309" s="26" t="str">
        <x:f>IF(B309="","",B309+7)</x:f>
      </x:c>
      <x:c r="D309" t="str">
        <x:f>IF(A309="","",TEXT(A309,"dddd"))</x:f>
      </x:c>
      <x:c r="E309" s="24"/>
      <x:c r="F309" s="24"/>
      <x:c r="G309" s="32" t="n">
        <x:f>IF(AND(E309&lt;Settings!$B$11,F309&gt;Settings!$B$11),Settings!$B$12,0)</x:f>
        <x:v>0</x:v>
      </x:c>
      <x:c r="H309" s="32" t="n">
        <x:f>IF(AND(E309&lt;Settings!$B$13,F309&gt;Settings!$B$13),Settings!$B$14,0)</x:f>
        <x:v>0</x:v>
      </x:c>
      <x:c r="I309" s="32" t="str">
        <x:f>IF(A309="","",G309+H309)</x:f>
      </x:c>
      <x:c r="J309" s="22" t="str">
        <x:f>IF(A309="","",((F309-E309)*24)-(I309/60))</x:f>
      </x:c>
      <x:c r="K309" s="22" t="str">
        <x:f>IF(A309="","",MIN(J309,8))</x:f>
      </x:c>
      <x:c r="L309" s="22" t="str">
        <x:f>IF(A309="","",MAX(J309-8,0))</x:f>
      </x:c>
      <x:c r="M309" s="20" t="str">
        <x:f>IF(A309="","",K309*Settings!$B$5)</x:f>
      </x:c>
      <x:c r="N309" s="20" t="str">
        <x:f>IF(A309="","",L309*Settings!$B$6)</x:f>
      </x:c>
      <x:c r="O309" s="22"/>
      <x:c r="P309" s="22"/>
      <x:c r="Q309" s="22" t="str">
        <x:f>IF(A309="","",MAX(O309-Settings!$B$7,0))</x:f>
      </x:c>
      <x:c r="R309" s="20" t="str">
        <x:f>IF(A309="","",Q309*Settings!$B$8)</x:f>
      </x:c>
      <x:c r="S309" s="20" t="str">
        <x:f>IF(A309="","",M309+N309)</x:f>
      </x:c>
      <x:c r="T309" s="20" t="str">
        <x:f>IF(A309="","",S309+R309)</x:f>
      </x:c>
    </x:row>
    <x:row r="310">
      <x:c r="A310" s="26"/>
      <x:c r="B310" s="26" t="str">
        <x:f>IF(A310="","",A310-MOD(WEEKDAY(A310,2)-5,7))</x:f>
      </x:c>
      <x:c r="C310" s="26" t="str">
        <x:f>IF(B310="","",B310+7)</x:f>
      </x:c>
      <x:c r="D310" t="str">
        <x:f>IF(A310="","",TEXT(A310,"dddd"))</x:f>
      </x:c>
      <x:c r="E310" s="24"/>
      <x:c r="F310" s="24"/>
      <x:c r="G310" s="32" t="n">
        <x:f>IF(AND(E310&lt;Settings!$B$11,F310&gt;Settings!$B$11),Settings!$B$12,0)</x:f>
        <x:v>0</x:v>
      </x:c>
      <x:c r="H310" s="32" t="n">
        <x:f>IF(AND(E310&lt;Settings!$B$13,F310&gt;Settings!$B$13),Settings!$B$14,0)</x:f>
        <x:v>0</x:v>
      </x:c>
      <x:c r="I310" s="32" t="str">
        <x:f>IF(A310="","",G310+H310)</x:f>
      </x:c>
      <x:c r="J310" s="22" t="str">
        <x:f>IF(A310="","",((F310-E310)*24)-(I310/60))</x:f>
      </x:c>
      <x:c r="K310" s="22" t="str">
        <x:f>IF(A310="","",MIN(J310,8))</x:f>
      </x:c>
      <x:c r="L310" s="22" t="str">
        <x:f>IF(A310="","",MAX(J310-8,0))</x:f>
      </x:c>
      <x:c r="M310" s="20" t="str">
        <x:f>IF(A310="","",K310*Settings!$B$5)</x:f>
      </x:c>
      <x:c r="N310" s="20" t="str">
        <x:f>IF(A310="","",L310*Settings!$B$6)</x:f>
      </x:c>
      <x:c r="O310" s="22"/>
      <x:c r="P310" s="22"/>
      <x:c r="Q310" s="22" t="str">
        <x:f>IF(A310="","",MAX(O310-Settings!$B$7,0))</x:f>
      </x:c>
      <x:c r="R310" s="20" t="str">
        <x:f>IF(A310="","",Q310*Settings!$B$8)</x:f>
      </x:c>
      <x:c r="S310" s="20" t="str">
        <x:f>IF(A310="","",M310+N310)</x:f>
      </x:c>
      <x:c r="T310" s="20" t="str">
        <x:f>IF(A310="","",S310+R310)</x:f>
      </x:c>
    </x:row>
    <x:row r="311">
      <x:c r="A311" s="26"/>
      <x:c r="B311" s="26" t="str">
        <x:f>IF(A311="","",A311-MOD(WEEKDAY(A311,2)-5,7))</x:f>
      </x:c>
      <x:c r="C311" s="26" t="str">
        <x:f>IF(B311="","",B311+7)</x:f>
      </x:c>
      <x:c r="D311" t="str">
        <x:f>IF(A311="","",TEXT(A311,"dddd"))</x:f>
      </x:c>
      <x:c r="E311" s="24"/>
      <x:c r="F311" s="24"/>
      <x:c r="G311" s="32" t="n">
        <x:f>IF(AND(E311&lt;Settings!$B$11,F311&gt;Settings!$B$11),Settings!$B$12,0)</x:f>
        <x:v>0</x:v>
      </x:c>
      <x:c r="H311" s="32" t="n">
        <x:f>IF(AND(E311&lt;Settings!$B$13,F311&gt;Settings!$B$13),Settings!$B$14,0)</x:f>
        <x:v>0</x:v>
      </x:c>
      <x:c r="I311" s="32" t="str">
        <x:f>IF(A311="","",G311+H311)</x:f>
      </x:c>
      <x:c r="J311" s="22" t="str">
        <x:f>IF(A311="","",((F311-E311)*24)-(I311/60))</x:f>
      </x:c>
      <x:c r="K311" s="22" t="str">
        <x:f>IF(A311="","",MIN(J311,8))</x:f>
      </x:c>
      <x:c r="L311" s="22" t="str">
        <x:f>IF(A311="","",MAX(J311-8,0))</x:f>
      </x:c>
      <x:c r="M311" s="20" t="str">
        <x:f>IF(A311="","",K311*Settings!$B$5)</x:f>
      </x:c>
      <x:c r="N311" s="20" t="str">
        <x:f>IF(A311="","",L311*Settings!$B$6)</x:f>
      </x:c>
      <x:c r="O311" s="22"/>
      <x:c r="P311" s="22"/>
      <x:c r="Q311" s="22" t="str">
        <x:f>IF(A311="","",MAX(O311-Settings!$B$7,0))</x:f>
      </x:c>
      <x:c r="R311" s="20" t="str">
        <x:f>IF(A311="","",Q311*Settings!$B$8)</x:f>
      </x:c>
      <x:c r="S311" s="20" t="str">
        <x:f>IF(A311="","",M311+N311)</x:f>
      </x:c>
      <x:c r="T311" s="20" t="str">
        <x:f>IF(A311="","",S311+R311)</x:f>
      </x:c>
    </x:row>
    <x:row r="312">
      <x:c r="A312" s="26"/>
      <x:c r="B312" s="26" t="str">
        <x:f>IF(A312="","",A312-MOD(WEEKDAY(A312,2)-5,7))</x:f>
      </x:c>
      <x:c r="C312" s="26" t="str">
        <x:f>IF(B312="","",B312+7)</x:f>
      </x:c>
      <x:c r="D312" t="str">
        <x:f>IF(A312="","",TEXT(A312,"dddd"))</x:f>
      </x:c>
      <x:c r="E312" s="24"/>
      <x:c r="F312" s="24"/>
      <x:c r="G312" s="32" t="n">
        <x:f>IF(AND(E312&lt;Settings!$B$11,F312&gt;Settings!$B$11),Settings!$B$12,0)</x:f>
        <x:v>0</x:v>
      </x:c>
      <x:c r="H312" s="32" t="n">
        <x:f>IF(AND(E312&lt;Settings!$B$13,F312&gt;Settings!$B$13),Settings!$B$14,0)</x:f>
        <x:v>0</x:v>
      </x:c>
      <x:c r="I312" s="32" t="str">
        <x:f>IF(A312="","",G312+H312)</x:f>
      </x:c>
      <x:c r="J312" s="22" t="str">
        <x:f>IF(A312="","",((F312-E312)*24)-(I312/60))</x:f>
      </x:c>
      <x:c r="K312" s="22" t="str">
        <x:f>IF(A312="","",MIN(J312,8))</x:f>
      </x:c>
      <x:c r="L312" s="22" t="str">
        <x:f>IF(A312="","",MAX(J312-8,0))</x:f>
      </x:c>
      <x:c r="M312" s="20" t="str">
        <x:f>IF(A312="","",K312*Settings!$B$5)</x:f>
      </x:c>
      <x:c r="N312" s="20" t="str">
        <x:f>IF(A312="","",L312*Settings!$B$6)</x:f>
      </x:c>
      <x:c r="O312" s="22"/>
      <x:c r="P312" s="22"/>
      <x:c r="Q312" s="22" t="str">
        <x:f>IF(A312="","",MAX(O312-Settings!$B$7,0))</x:f>
      </x:c>
      <x:c r="R312" s="20" t="str">
        <x:f>IF(A312="","",Q312*Settings!$B$8)</x:f>
      </x:c>
      <x:c r="S312" s="20" t="str">
        <x:f>IF(A312="","",M312+N312)</x:f>
      </x:c>
      <x:c r="T312" s="20" t="str">
        <x:f>IF(A312="","",S312+R312)</x:f>
      </x:c>
    </x:row>
    <x:row r="313">
      <x:c r="A313" s="26"/>
      <x:c r="B313" s="26" t="str">
        <x:f>IF(A313="","",A313-MOD(WEEKDAY(A313,2)-5,7))</x:f>
      </x:c>
      <x:c r="C313" s="26" t="str">
        <x:f>IF(B313="","",B313+7)</x:f>
      </x:c>
      <x:c r="D313" t="str">
        <x:f>IF(A313="","",TEXT(A313,"dddd"))</x:f>
      </x:c>
      <x:c r="E313" s="24"/>
      <x:c r="F313" s="24"/>
      <x:c r="G313" s="32" t="n">
        <x:f>IF(AND(E313&lt;Settings!$B$11,F313&gt;Settings!$B$11),Settings!$B$12,0)</x:f>
        <x:v>0</x:v>
      </x:c>
      <x:c r="H313" s="32" t="n">
        <x:f>IF(AND(E313&lt;Settings!$B$13,F313&gt;Settings!$B$13),Settings!$B$14,0)</x:f>
        <x:v>0</x:v>
      </x:c>
      <x:c r="I313" s="32" t="str">
        <x:f>IF(A313="","",G313+H313)</x:f>
      </x:c>
      <x:c r="J313" s="22" t="str">
        <x:f>IF(A313="","",((F313-E313)*24)-(I313/60))</x:f>
      </x:c>
      <x:c r="K313" s="22" t="str">
        <x:f>IF(A313="","",MIN(J313,8))</x:f>
      </x:c>
      <x:c r="L313" s="22" t="str">
        <x:f>IF(A313="","",MAX(J313-8,0))</x:f>
      </x:c>
      <x:c r="M313" s="20" t="str">
        <x:f>IF(A313="","",K313*Settings!$B$5)</x:f>
      </x:c>
      <x:c r="N313" s="20" t="str">
        <x:f>IF(A313="","",L313*Settings!$B$6)</x:f>
      </x:c>
      <x:c r="O313" s="22"/>
      <x:c r="P313" s="22"/>
      <x:c r="Q313" s="22" t="str">
        <x:f>IF(A313="","",MAX(O313-Settings!$B$7,0))</x:f>
      </x:c>
      <x:c r="R313" s="20" t="str">
        <x:f>IF(A313="","",Q313*Settings!$B$8)</x:f>
      </x:c>
      <x:c r="S313" s="20" t="str">
        <x:f>IF(A313="","",M313+N313)</x:f>
      </x:c>
      <x:c r="T313" s="20" t="str">
        <x:f>IF(A313="","",S313+R313)</x:f>
      </x:c>
    </x:row>
    <x:row r="314">
      <x:c r="A314" s="26"/>
      <x:c r="B314" s="26" t="str">
        <x:f>IF(A314="","",A314-MOD(WEEKDAY(A314,2)-5,7))</x:f>
      </x:c>
      <x:c r="C314" s="26" t="str">
        <x:f>IF(B314="","",B314+7)</x:f>
      </x:c>
      <x:c r="D314" t="str">
        <x:f>IF(A314="","",TEXT(A314,"dddd"))</x:f>
      </x:c>
      <x:c r="E314" s="24"/>
      <x:c r="F314" s="24"/>
      <x:c r="G314" s="32" t="n">
        <x:f>IF(AND(E314&lt;Settings!$B$11,F314&gt;Settings!$B$11),Settings!$B$12,0)</x:f>
        <x:v>0</x:v>
      </x:c>
      <x:c r="H314" s="32" t="n">
        <x:f>IF(AND(E314&lt;Settings!$B$13,F314&gt;Settings!$B$13),Settings!$B$14,0)</x:f>
        <x:v>0</x:v>
      </x:c>
      <x:c r="I314" s="32" t="str">
        <x:f>IF(A314="","",G314+H314)</x:f>
      </x:c>
      <x:c r="J314" s="22" t="str">
        <x:f>IF(A314="","",((F314-E314)*24)-(I314/60))</x:f>
      </x:c>
      <x:c r="K314" s="22" t="str">
        <x:f>IF(A314="","",MIN(J314,8))</x:f>
      </x:c>
      <x:c r="L314" s="22" t="str">
        <x:f>IF(A314="","",MAX(J314-8,0))</x:f>
      </x:c>
      <x:c r="M314" s="20" t="str">
        <x:f>IF(A314="","",K314*Settings!$B$5)</x:f>
      </x:c>
      <x:c r="N314" s="20" t="str">
        <x:f>IF(A314="","",L314*Settings!$B$6)</x:f>
      </x:c>
      <x:c r="O314" s="22"/>
      <x:c r="P314" s="22"/>
      <x:c r="Q314" s="22" t="str">
        <x:f>IF(A314="","",MAX(O314-Settings!$B$7,0))</x:f>
      </x:c>
      <x:c r="R314" s="20" t="str">
        <x:f>IF(A314="","",Q314*Settings!$B$8)</x:f>
      </x:c>
      <x:c r="S314" s="20" t="str">
        <x:f>IF(A314="","",M314+N314)</x:f>
      </x:c>
      <x:c r="T314" s="20" t="str">
        <x:f>IF(A314="","",S314+R314)</x:f>
      </x:c>
    </x:row>
    <x:row r="315">
      <x:c r="A315" s="26"/>
      <x:c r="B315" s="26" t="str">
        <x:f>IF(A315="","",A315-MOD(WEEKDAY(A315,2)-5,7))</x:f>
      </x:c>
      <x:c r="C315" s="26" t="str">
        <x:f>IF(B315="","",B315+7)</x:f>
      </x:c>
      <x:c r="D315" t="str">
        <x:f>IF(A315="","",TEXT(A315,"dddd"))</x:f>
      </x:c>
      <x:c r="E315" s="24"/>
      <x:c r="F315" s="24"/>
      <x:c r="G315" s="32" t="n">
        <x:f>IF(AND(E315&lt;Settings!$B$11,F315&gt;Settings!$B$11),Settings!$B$12,0)</x:f>
        <x:v>0</x:v>
      </x:c>
      <x:c r="H315" s="32" t="n">
        <x:f>IF(AND(E315&lt;Settings!$B$13,F315&gt;Settings!$B$13),Settings!$B$14,0)</x:f>
        <x:v>0</x:v>
      </x:c>
      <x:c r="I315" s="32" t="str">
        <x:f>IF(A315="","",G315+H315)</x:f>
      </x:c>
      <x:c r="J315" s="22" t="str">
        <x:f>IF(A315="","",((F315-E315)*24)-(I315/60))</x:f>
      </x:c>
      <x:c r="K315" s="22" t="str">
        <x:f>IF(A315="","",MIN(J315,8))</x:f>
      </x:c>
      <x:c r="L315" s="22" t="str">
        <x:f>IF(A315="","",MAX(J315-8,0))</x:f>
      </x:c>
      <x:c r="M315" s="20" t="str">
        <x:f>IF(A315="","",K315*Settings!$B$5)</x:f>
      </x:c>
      <x:c r="N315" s="20" t="str">
        <x:f>IF(A315="","",L315*Settings!$B$6)</x:f>
      </x:c>
      <x:c r="O315" s="22"/>
      <x:c r="P315" s="22"/>
      <x:c r="Q315" s="22" t="str">
        <x:f>IF(A315="","",MAX(O315-Settings!$B$7,0))</x:f>
      </x:c>
      <x:c r="R315" s="20" t="str">
        <x:f>IF(A315="","",Q315*Settings!$B$8)</x:f>
      </x:c>
      <x:c r="S315" s="20" t="str">
        <x:f>IF(A315="","",M315+N315)</x:f>
      </x:c>
      <x:c r="T315" s="20" t="str">
        <x:f>IF(A315="","",S315+R315)</x:f>
      </x:c>
    </x:row>
    <x:row r="316">
      <x:c r="A316" s="26"/>
      <x:c r="B316" s="26" t="str">
        <x:f>IF(A316="","",A316-MOD(WEEKDAY(A316,2)-5,7))</x:f>
      </x:c>
      <x:c r="C316" s="26" t="str">
        <x:f>IF(B316="","",B316+7)</x:f>
      </x:c>
      <x:c r="D316" t="str">
        <x:f>IF(A316="","",TEXT(A316,"dddd"))</x:f>
      </x:c>
      <x:c r="E316" s="24"/>
      <x:c r="F316" s="24"/>
      <x:c r="G316" s="32" t="n">
        <x:f>IF(AND(E316&lt;Settings!$B$11,F316&gt;Settings!$B$11),Settings!$B$12,0)</x:f>
        <x:v>0</x:v>
      </x:c>
      <x:c r="H316" s="32" t="n">
        <x:f>IF(AND(E316&lt;Settings!$B$13,F316&gt;Settings!$B$13),Settings!$B$14,0)</x:f>
        <x:v>0</x:v>
      </x:c>
      <x:c r="I316" s="32" t="str">
        <x:f>IF(A316="","",G316+H316)</x:f>
      </x:c>
      <x:c r="J316" s="22" t="str">
        <x:f>IF(A316="","",((F316-E316)*24)-(I316/60))</x:f>
      </x:c>
      <x:c r="K316" s="22" t="str">
        <x:f>IF(A316="","",MIN(J316,8))</x:f>
      </x:c>
      <x:c r="L316" s="22" t="str">
        <x:f>IF(A316="","",MAX(J316-8,0))</x:f>
      </x:c>
      <x:c r="M316" s="20" t="str">
        <x:f>IF(A316="","",K316*Settings!$B$5)</x:f>
      </x:c>
      <x:c r="N316" s="20" t="str">
        <x:f>IF(A316="","",L316*Settings!$B$6)</x:f>
      </x:c>
      <x:c r="O316" s="22"/>
      <x:c r="P316" s="22"/>
      <x:c r="Q316" s="22" t="str">
        <x:f>IF(A316="","",MAX(O316-Settings!$B$7,0))</x:f>
      </x:c>
      <x:c r="R316" s="20" t="str">
        <x:f>IF(A316="","",Q316*Settings!$B$8)</x:f>
      </x:c>
      <x:c r="S316" s="20" t="str">
        <x:f>IF(A316="","",M316+N316)</x:f>
      </x:c>
      <x:c r="T316" s="20" t="str">
        <x:f>IF(A316="","",S316+R316)</x:f>
      </x:c>
    </x:row>
    <x:row r="317">
      <x:c r="A317" s="26"/>
      <x:c r="B317" s="26" t="str">
        <x:f>IF(A317="","",A317-MOD(WEEKDAY(A317,2)-5,7))</x:f>
      </x:c>
      <x:c r="C317" s="26" t="str">
        <x:f>IF(B317="","",B317+7)</x:f>
      </x:c>
      <x:c r="D317" t="str">
        <x:f>IF(A317="","",TEXT(A317,"dddd"))</x:f>
      </x:c>
      <x:c r="E317" s="24"/>
      <x:c r="F317" s="24"/>
      <x:c r="G317" s="32" t="n">
        <x:f>IF(AND(E317&lt;Settings!$B$11,F317&gt;Settings!$B$11),Settings!$B$12,0)</x:f>
        <x:v>0</x:v>
      </x:c>
      <x:c r="H317" s="32" t="n">
        <x:f>IF(AND(E317&lt;Settings!$B$13,F317&gt;Settings!$B$13),Settings!$B$14,0)</x:f>
        <x:v>0</x:v>
      </x:c>
      <x:c r="I317" s="32" t="str">
        <x:f>IF(A317="","",G317+H317)</x:f>
      </x:c>
      <x:c r="J317" s="22" t="str">
        <x:f>IF(A317="","",((F317-E317)*24)-(I317/60))</x:f>
      </x:c>
      <x:c r="K317" s="22" t="str">
        <x:f>IF(A317="","",MIN(J317,8))</x:f>
      </x:c>
      <x:c r="L317" s="22" t="str">
        <x:f>IF(A317="","",MAX(J317-8,0))</x:f>
      </x:c>
      <x:c r="M317" s="20" t="str">
        <x:f>IF(A317="","",K317*Settings!$B$5)</x:f>
      </x:c>
      <x:c r="N317" s="20" t="str">
        <x:f>IF(A317="","",L317*Settings!$B$6)</x:f>
      </x:c>
      <x:c r="O317" s="22"/>
      <x:c r="P317" s="22"/>
      <x:c r="Q317" s="22" t="str">
        <x:f>IF(A317="","",MAX(O317-Settings!$B$7,0))</x:f>
      </x:c>
      <x:c r="R317" s="20" t="str">
        <x:f>IF(A317="","",Q317*Settings!$B$8)</x:f>
      </x:c>
      <x:c r="S317" s="20" t="str">
        <x:f>IF(A317="","",M317+N317)</x:f>
      </x:c>
      <x:c r="T317" s="20" t="str">
        <x:f>IF(A317="","",S317+R317)</x:f>
      </x:c>
    </x:row>
    <x:row r="318">
      <x:c r="A318" s="26"/>
      <x:c r="B318" s="26" t="str">
        <x:f>IF(A318="","",A318-MOD(WEEKDAY(A318,2)-5,7))</x:f>
      </x:c>
      <x:c r="C318" s="26" t="str">
        <x:f>IF(B318="","",B318+7)</x:f>
      </x:c>
      <x:c r="D318" t="str">
        <x:f>IF(A318="","",TEXT(A318,"dddd"))</x:f>
      </x:c>
      <x:c r="E318" s="24"/>
      <x:c r="F318" s="24"/>
      <x:c r="G318" s="32" t="n">
        <x:f>IF(AND(E318&lt;Settings!$B$11,F318&gt;Settings!$B$11),Settings!$B$12,0)</x:f>
        <x:v>0</x:v>
      </x:c>
      <x:c r="H318" s="32" t="n">
        <x:f>IF(AND(E318&lt;Settings!$B$13,F318&gt;Settings!$B$13),Settings!$B$14,0)</x:f>
        <x:v>0</x:v>
      </x:c>
      <x:c r="I318" s="32" t="str">
        <x:f>IF(A318="","",G318+H318)</x:f>
      </x:c>
      <x:c r="J318" s="22" t="str">
        <x:f>IF(A318="","",((F318-E318)*24)-(I318/60))</x:f>
      </x:c>
      <x:c r="K318" s="22" t="str">
        <x:f>IF(A318="","",MIN(J318,8))</x:f>
      </x:c>
      <x:c r="L318" s="22" t="str">
        <x:f>IF(A318="","",MAX(J318-8,0))</x:f>
      </x:c>
      <x:c r="M318" s="20" t="str">
        <x:f>IF(A318="","",K318*Settings!$B$5)</x:f>
      </x:c>
      <x:c r="N318" s="20" t="str">
        <x:f>IF(A318="","",L318*Settings!$B$6)</x:f>
      </x:c>
      <x:c r="O318" s="22"/>
      <x:c r="P318" s="22"/>
      <x:c r="Q318" s="22" t="str">
        <x:f>IF(A318="","",MAX(O318-Settings!$B$7,0))</x:f>
      </x:c>
      <x:c r="R318" s="20" t="str">
        <x:f>IF(A318="","",Q318*Settings!$B$8)</x:f>
      </x:c>
      <x:c r="S318" s="20" t="str">
        <x:f>IF(A318="","",M318+N318)</x:f>
      </x:c>
      <x:c r="T318" s="20" t="str">
        <x:f>IF(A318="","",S318+R318)</x:f>
      </x:c>
    </x:row>
    <x:row r="319">
      <x:c r="A319" s="26"/>
      <x:c r="B319" s="26" t="str">
        <x:f>IF(A319="","",A319-MOD(WEEKDAY(A319,2)-5,7))</x:f>
      </x:c>
      <x:c r="C319" s="26" t="str">
        <x:f>IF(B319="","",B319+7)</x:f>
      </x:c>
      <x:c r="D319" t="str">
        <x:f>IF(A319="","",TEXT(A319,"dddd"))</x:f>
      </x:c>
      <x:c r="E319" s="24"/>
      <x:c r="F319" s="24"/>
      <x:c r="G319" s="32" t="n">
        <x:f>IF(AND(E319&lt;Settings!$B$11,F319&gt;Settings!$B$11),Settings!$B$12,0)</x:f>
        <x:v>0</x:v>
      </x:c>
      <x:c r="H319" s="32" t="n">
        <x:f>IF(AND(E319&lt;Settings!$B$13,F319&gt;Settings!$B$13),Settings!$B$14,0)</x:f>
        <x:v>0</x:v>
      </x:c>
      <x:c r="I319" s="32" t="str">
        <x:f>IF(A319="","",G319+H319)</x:f>
      </x:c>
      <x:c r="J319" s="22" t="str">
        <x:f>IF(A319="","",((F319-E319)*24)-(I319/60))</x:f>
      </x:c>
      <x:c r="K319" s="22" t="str">
        <x:f>IF(A319="","",MIN(J319,8))</x:f>
      </x:c>
      <x:c r="L319" s="22" t="str">
        <x:f>IF(A319="","",MAX(J319-8,0))</x:f>
      </x:c>
      <x:c r="M319" s="20" t="str">
        <x:f>IF(A319="","",K319*Settings!$B$5)</x:f>
      </x:c>
      <x:c r="N319" s="20" t="str">
        <x:f>IF(A319="","",L319*Settings!$B$6)</x:f>
      </x:c>
      <x:c r="O319" s="22"/>
      <x:c r="P319" s="22"/>
      <x:c r="Q319" s="22" t="str">
        <x:f>IF(A319="","",MAX(O319-Settings!$B$7,0))</x:f>
      </x:c>
      <x:c r="R319" s="20" t="str">
        <x:f>IF(A319="","",Q319*Settings!$B$8)</x:f>
      </x:c>
      <x:c r="S319" s="20" t="str">
        <x:f>IF(A319="","",M319+N319)</x:f>
      </x:c>
      <x:c r="T319" s="20" t="str">
        <x:f>IF(A319="","",S319+R319)</x:f>
      </x:c>
    </x:row>
    <x:row r="320">
      <x:c r="A320" s="26"/>
      <x:c r="B320" s="26" t="str">
        <x:f>IF(A320="","",A320-MOD(WEEKDAY(A320,2)-5,7))</x:f>
      </x:c>
      <x:c r="C320" s="26" t="str">
        <x:f>IF(B320="","",B320+7)</x:f>
      </x:c>
      <x:c r="D320" t="str">
        <x:f>IF(A320="","",TEXT(A320,"dddd"))</x:f>
      </x:c>
      <x:c r="E320" s="24"/>
      <x:c r="F320" s="24"/>
      <x:c r="G320" s="32" t="n">
        <x:f>IF(AND(E320&lt;Settings!$B$11,F320&gt;Settings!$B$11),Settings!$B$12,0)</x:f>
        <x:v>0</x:v>
      </x:c>
      <x:c r="H320" s="32" t="n">
        <x:f>IF(AND(E320&lt;Settings!$B$13,F320&gt;Settings!$B$13),Settings!$B$14,0)</x:f>
        <x:v>0</x:v>
      </x:c>
      <x:c r="I320" s="32" t="str">
        <x:f>IF(A320="","",G320+H320)</x:f>
      </x:c>
      <x:c r="J320" s="22" t="str">
        <x:f>IF(A320="","",((F320-E320)*24)-(I320/60))</x:f>
      </x:c>
      <x:c r="K320" s="22" t="str">
        <x:f>IF(A320="","",MIN(J320,8))</x:f>
      </x:c>
      <x:c r="L320" s="22" t="str">
        <x:f>IF(A320="","",MAX(J320-8,0))</x:f>
      </x:c>
      <x:c r="M320" s="20" t="str">
        <x:f>IF(A320="","",K320*Settings!$B$5)</x:f>
      </x:c>
      <x:c r="N320" s="20" t="str">
        <x:f>IF(A320="","",L320*Settings!$B$6)</x:f>
      </x:c>
      <x:c r="O320" s="22"/>
      <x:c r="P320" s="22"/>
      <x:c r="Q320" s="22" t="str">
        <x:f>IF(A320="","",MAX(O320-Settings!$B$7,0))</x:f>
      </x:c>
      <x:c r="R320" s="20" t="str">
        <x:f>IF(A320="","",Q320*Settings!$B$8)</x:f>
      </x:c>
      <x:c r="S320" s="20" t="str">
        <x:f>IF(A320="","",M320+N320)</x:f>
      </x:c>
      <x:c r="T320" s="20" t="str">
        <x:f>IF(A320="","",S320+R320)</x:f>
      </x:c>
    </x:row>
    <x:row r="321">
      <x:c r="A321" s="26"/>
      <x:c r="B321" s="26" t="str">
        <x:f>IF(A321="","",A321-MOD(WEEKDAY(A321,2)-5,7))</x:f>
      </x:c>
      <x:c r="C321" s="26" t="str">
        <x:f>IF(B321="","",B321+7)</x:f>
      </x:c>
      <x:c r="D321" t="str">
        <x:f>IF(A321="","",TEXT(A321,"dddd"))</x:f>
      </x:c>
      <x:c r="E321" s="24"/>
      <x:c r="F321" s="24"/>
      <x:c r="G321" s="32" t="n">
        <x:f>IF(AND(E321&lt;Settings!$B$11,F321&gt;Settings!$B$11),Settings!$B$12,0)</x:f>
        <x:v>0</x:v>
      </x:c>
      <x:c r="H321" s="32" t="n">
        <x:f>IF(AND(E321&lt;Settings!$B$13,F321&gt;Settings!$B$13),Settings!$B$14,0)</x:f>
        <x:v>0</x:v>
      </x:c>
      <x:c r="I321" s="32" t="str">
        <x:f>IF(A321="","",G321+H321)</x:f>
      </x:c>
      <x:c r="J321" s="22" t="str">
        <x:f>IF(A321="","",((F321-E321)*24)-(I321/60))</x:f>
      </x:c>
      <x:c r="K321" s="22" t="str">
        <x:f>IF(A321="","",MIN(J321,8))</x:f>
      </x:c>
      <x:c r="L321" s="22" t="str">
        <x:f>IF(A321="","",MAX(J321-8,0))</x:f>
      </x:c>
      <x:c r="M321" s="20" t="str">
        <x:f>IF(A321="","",K321*Settings!$B$5)</x:f>
      </x:c>
      <x:c r="N321" s="20" t="str">
        <x:f>IF(A321="","",L321*Settings!$B$6)</x:f>
      </x:c>
      <x:c r="O321" s="22"/>
      <x:c r="P321" s="22"/>
      <x:c r="Q321" s="22" t="str">
        <x:f>IF(A321="","",MAX(O321-Settings!$B$7,0))</x:f>
      </x:c>
      <x:c r="R321" s="20" t="str">
        <x:f>IF(A321="","",Q321*Settings!$B$8)</x:f>
      </x:c>
      <x:c r="S321" s="20" t="str">
        <x:f>IF(A321="","",M321+N321)</x:f>
      </x:c>
      <x:c r="T321" s="20" t="str">
        <x:f>IF(A321="","",S321+R321)</x:f>
      </x:c>
    </x:row>
    <x:row r="322">
      <x:c r="A322" s="26"/>
      <x:c r="B322" s="26" t="str">
        <x:f>IF(A322="","",A322-MOD(WEEKDAY(A322,2)-5,7))</x:f>
      </x:c>
      <x:c r="C322" s="26" t="str">
        <x:f>IF(B322="","",B322+7)</x:f>
      </x:c>
      <x:c r="D322" t="str">
        <x:f>IF(A322="","",TEXT(A322,"dddd"))</x:f>
      </x:c>
      <x:c r="E322" s="24"/>
      <x:c r="F322" s="24"/>
      <x:c r="G322" s="32" t="n">
        <x:f>IF(AND(E322&lt;Settings!$B$11,F322&gt;Settings!$B$11),Settings!$B$12,0)</x:f>
        <x:v>0</x:v>
      </x:c>
      <x:c r="H322" s="32" t="n">
        <x:f>IF(AND(E322&lt;Settings!$B$13,F322&gt;Settings!$B$13),Settings!$B$14,0)</x:f>
        <x:v>0</x:v>
      </x:c>
      <x:c r="I322" s="32" t="str">
        <x:f>IF(A322="","",G322+H322)</x:f>
      </x:c>
      <x:c r="J322" s="22" t="str">
        <x:f>IF(A322="","",((F322-E322)*24)-(I322/60))</x:f>
      </x:c>
      <x:c r="K322" s="22" t="str">
        <x:f>IF(A322="","",MIN(J322,8))</x:f>
      </x:c>
      <x:c r="L322" s="22" t="str">
        <x:f>IF(A322="","",MAX(J322-8,0))</x:f>
      </x:c>
      <x:c r="M322" s="20" t="str">
        <x:f>IF(A322="","",K322*Settings!$B$5)</x:f>
      </x:c>
      <x:c r="N322" s="20" t="str">
        <x:f>IF(A322="","",L322*Settings!$B$6)</x:f>
      </x:c>
      <x:c r="O322" s="22"/>
      <x:c r="P322" s="22"/>
      <x:c r="Q322" s="22" t="str">
        <x:f>IF(A322="","",MAX(O322-Settings!$B$7,0))</x:f>
      </x:c>
      <x:c r="R322" s="20" t="str">
        <x:f>IF(A322="","",Q322*Settings!$B$8)</x:f>
      </x:c>
      <x:c r="S322" s="20" t="str">
        <x:f>IF(A322="","",M322+N322)</x:f>
      </x:c>
      <x:c r="T322" s="20" t="str">
        <x:f>IF(A322="","",S322+R322)</x:f>
      </x:c>
    </x:row>
    <x:row r="323">
      <x:c r="A323" s="26"/>
      <x:c r="B323" s="26" t="str">
        <x:f>IF(A323="","",A323-MOD(WEEKDAY(A323,2)-5,7))</x:f>
      </x:c>
      <x:c r="C323" s="26" t="str">
        <x:f>IF(B323="","",B323+7)</x:f>
      </x:c>
      <x:c r="D323" t="str">
        <x:f>IF(A323="","",TEXT(A323,"dddd"))</x:f>
      </x:c>
      <x:c r="E323" s="24"/>
      <x:c r="F323" s="24"/>
      <x:c r="G323" s="32" t="n">
        <x:f>IF(AND(E323&lt;Settings!$B$11,F323&gt;Settings!$B$11),Settings!$B$12,0)</x:f>
        <x:v>0</x:v>
      </x:c>
      <x:c r="H323" s="32" t="n">
        <x:f>IF(AND(E323&lt;Settings!$B$13,F323&gt;Settings!$B$13),Settings!$B$14,0)</x:f>
        <x:v>0</x:v>
      </x:c>
      <x:c r="I323" s="32" t="str">
        <x:f>IF(A323="","",G323+H323)</x:f>
      </x:c>
      <x:c r="J323" s="22" t="str">
        <x:f>IF(A323="","",((F323-E323)*24)-(I323/60))</x:f>
      </x:c>
      <x:c r="K323" s="22" t="str">
        <x:f>IF(A323="","",MIN(J323,8))</x:f>
      </x:c>
      <x:c r="L323" s="22" t="str">
        <x:f>IF(A323="","",MAX(J323-8,0))</x:f>
      </x:c>
      <x:c r="M323" s="20" t="str">
        <x:f>IF(A323="","",K323*Settings!$B$5)</x:f>
      </x:c>
      <x:c r="N323" s="20" t="str">
        <x:f>IF(A323="","",L323*Settings!$B$6)</x:f>
      </x:c>
      <x:c r="O323" s="22"/>
      <x:c r="P323" s="22"/>
      <x:c r="Q323" s="22" t="str">
        <x:f>IF(A323="","",MAX(O323-Settings!$B$7,0))</x:f>
      </x:c>
      <x:c r="R323" s="20" t="str">
        <x:f>IF(A323="","",Q323*Settings!$B$8)</x:f>
      </x:c>
      <x:c r="S323" s="20" t="str">
        <x:f>IF(A323="","",M323+N323)</x:f>
      </x:c>
      <x:c r="T323" s="20" t="str">
        <x:f>IF(A323="","",S323+R323)</x:f>
      </x:c>
    </x:row>
    <x:row r="324">
      <x:c r="A324" s="26"/>
      <x:c r="B324" s="26" t="str">
        <x:f>IF(A324="","",A324-MOD(WEEKDAY(A324,2)-5,7))</x:f>
      </x:c>
      <x:c r="C324" s="26" t="str">
        <x:f>IF(B324="","",B324+7)</x:f>
      </x:c>
      <x:c r="D324" t="str">
        <x:f>IF(A324="","",TEXT(A324,"dddd"))</x:f>
      </x:c>
      <x:c r="E324" s="24"/>
      <x:c r="F324" s="24"/>
      <x:c r="G324" s="32" t="n">
        <x:f>IF(AND(E324&lt;Settings!$B$11,F324&gt;Settings!$B$11),Settings!$B$12,0)</x:f>
        <x:v>0</x:v>
      </x:c>
      <x:c r="H324" s="32" t="n">
        <x:f>IF(AND(E324&lt;Settings!$B$13,F324&gt;Settings!$B$13),Settings!$B$14,0)</x:f>
        <x:v>0</x:v>
      </x:c>
      <x:c r="I324" s="32" t="str">
        <x:f>IF(A324="","",G324+H324)</x:f>
      </x:c>
      <x:c r="J324" s="22" t="str">
        <x:f>IF(A324="","",((F324-E324)*24)-(I324/60))</x:f>
      </x:c>
      <x:c r="K324" s="22" t="str">
        <x:f>IF(A324="","",MIN(J324,8))</x:f>
      </x:c>
      <x:c r="L324" s="22" t="str">
        <x:f>IF(A324="","",MAX(J324-8,0))</x:f>
      </x:c>
      <x:c r="M324" s="20" t="str">
        <x:f>IF(A324="","",K324*Settings!$B$5)</x:f>
      </x:c>
      <x:c r="N324" s="20" t="str">
        <x:f>IF(A324="","",L324*Settings!$B$6)</x:f>
      </x:c>
      <x:c r="O324" s="22"/>
      <x:c r="P324" s="22"/>
      <x:c r="Q324" s="22" t="str">
        <x:f>IF(A324="","",MAX(O324-Settings!$B$7,0))</x:f>
      </x:c>
      <x:c r="R324" s="20" t="str">
        <x:f>IF(A324="","",Q324*Settings!$B$8)</x:f>
      </x:c>
      <x:c r="S324" s="20" t="str">
        <x:f>IF(A324="","",M324+N324)</x:f>
      </x:c>
      <x:c r="T324" s="20" t="str">
        <x:f>IF(A324="","",S324+R324)</x:f>
      </x:c>
    </x:row>
    <x:row r="325">
      <x:c r="A325" s="26"/>
      <x:c r="B325" s="26" t="str">
        <x:f>IF(A325="","",A325-MOD(WEEKDAY(A325,2)-5,7))</x:f>
      </x:c>
      <x:c r="C325" s="26" t="str">
        <x:f>IF(B325="","",B325+7)</x:f>
      </x:c>
      <x:c r="D325" t="str">
        <x:f>IF(A325="","",TEXT(A325,"dddd"))</x:f>
      </x:c>
      <x:c r="E325" s="24"/>
      <x:c r="F325" s="24"/>
      <x:c r="G325" s="32" t="n">
        <x:f>IF(AND(E325&lt;Settings!$B$11,F325&gt;Settings!$B$11),Settings!$B$12,0)</x:f>
        <x:v>0</x:v>
      </x:c>
      <x:c r="H325" s="32" t="n">
        <x:f>IF(AND(E325&lt;Settings!$B$13,F325&gt;Settings!$B$13),Settings!$B$14,0)</x:f>
        <x:v>0</x:v>
      </x:c>
      <x:c r="I325" s="32" t="str">
        <x:f>IF(A325="","",G325+H325)</x:f>
      </x:c>
      <x:c r="J325" s="22" t="str">
        <x:f>IF(A325="","",((F325-E325)*24)-(I325/60))</x:f>
      </x:c>
      <x:c r="K325" s="22" t="str">
        <x:f>IF(A325="","",MIN(J325,8))</x:f>
      </x:c>
      <x:c r="L325" s="22" t="str">
        <x:f>IF(A325="","",MAX(J325-8,0))</x:f>
      </x:c>
      <x:c r="M325" s="20" t="str">
        <x:f>IF(A325="","",K325*Settings!$B$5)</x:f>
      </x:c>
      <x:c r="N325" s="20" t="str">
        <x:f>IF(A325="","",L325*Settings!$B$6)</x:f>
      </x:c>
      <x:c r="O325" s="22"/>
      <x:c r="P325" s="22"/>
      <x:c r="Q325" s="22" t="str">
        <x:f>IF(A325="","",MAX(O325-Settings!$B$7,0))</x:f>
      </x:c>
      <x:c r="R325" s="20" t="str">
        <x:f>IF(A325="","",Q325*Settings!$B$8)</x:f>
      </x:c>
      <x:c r="S325" s="20" t="str">
        <x:f>IF(A325="","",M325+N325)</x:f>
      </x:c>
      <x:c r="T325" s="20" t="str">
        <x:f>IF(A325="","",S325+R325)</x:f>
      </x:c>
    </x:row>
    <x:row r="326">
      <x:c r="A326" s="26"/>
      <x:c r="B326" s="26" t="str">
        <x:f>IF(A326="","",A326-MOD(WEEKDAY(A326,2)-5,7))</x:f>
      </x:c>
      <x:c r="C326" s="26" t="str">
        <x:f>IF(B326="","",B326+7)</x:f>
      </x:c>
      <x:c r="D326" t="str">
        <x:f>IF(A326="","",TEXT(A326,"dddd"))</x:f>
      </x:c>
      <x:c r="E326" s="24"/>
      <x:c r="F326" s="24"/>
      <x:c r="G326" s="32" t="n">
        <x:f>IF(AND(E326&lt;Settings!$B$11,F326&gt;Settings!$B$11),Settings!$B$12,0)</x:f>
        <x:v>0</x:v>
      </x:c>
      <x:c r="H326" s="32" t="n">
        <x:f>IF(AND(E326&lt;Settings!$B$13,F326&gt;Settings!$B$13),Settings!$B$14,0)</x:f>
        <x:v>0</x:v>
      </x:c>
      <x:c r="I326" s="32" t="str">
        <x:f>IF(A326="","",G326+H326)</x:f>
      </x:c>
      <x:c r="J326" s="22" t="str">
        <x:f>IF(A326="","",((F326-E326)*24)-(I326/60))</x:f>
      </x:c>
      <x:c r="K326" s="22" t="str">
        <x:f>IF(A326="","",MIN(J326,8))</x:f>
      </x:c>
      <x:c r="L326" s="22" t="str">
        <x:f>IF(A326="","",MAX(J326-8,0))</x:f>
      </x:c>
      <x:c r="M326" s="20" t="str">
        <x:f>IF(A326="","",K326*Settings!$B$5)</x:f>
      </x:c>
      <x:c r="N326" s="20" t="str">
        <x:f>IF(A326="","",L326*Settings!$B$6)</x:f>
      </x:c>
      <x:c r="O326" s="22"/>
      <x:c r="P326" s="22"/>
      <x:c r="Q326" s="22" t="str">
        <x:f>IF(A326="","",MAX(O326-Settings!$B$7,0))</x:f>
      </x:c>
      <x:c r="R326" s="20" t="str">
        <x:f>IF(A326="","",Q326*Settings!$B$8)</x:f>
      </x:c>
      <x:c r="S326" s="20" t="str">
        <x:f>IF(A326="","",M326+N326)</x:f>
      </x:c>
      <x:c r="T326" s="20" t="str">
        <x:f>IF(A326="","",S326+R326)</x:f>
      </x:c>
    </x:row>
    <x:row r="327">
      <x:c r="A327" s="26"/>
      <x:c r="B327" s="26" t="str">
        <x:f>IF(A327="","",A327-MOD(WEEKDAY(A327,2)-5,7))</x:f>
      </x:c>
      <x:c r="C327" s="26" t="str">
        <x:f>IF(B327="","",B327+7)</x:f>
      </x:c>
      <x:c r="D327" t="str">
        <x:f>IF(A327="","",TEXT(A327,"dddd"))</x:f>
      </x:c>
      <x:c r="E327" s="24"/>
      <x:c r="F327" s="24"/>
      <x:c r="G327" s="32" t="n">
        <x:f>IF(AND(E327&lt;Settings!$B$11,F327&gt;Settings!$B$11),Settings!$B$12,0)</x:f>
        <x:v>0</x:v>
      </x:c>
      <x:c r="H327" s="32" t="n">
        <x:f>IF(AND(E327&lt;Settings!$B$13,F327&gt;Settings!$B$13),Settings!$B$14,0)</x:f>
        <x:v>0</x:v>
      </x:c>
      <x:c r="I327" s="32" t="str">
        <x:f>IF(A327="","",G327+H327)</x:f>
      </x:c>
      <x:c r="J327" s="22" t="str">
        <x:f>IF(A327="","",((F327-E327)*24)-(I327/60))</x:f>
      </x:c>
      <x:c r="K327" s="22" t="str">
        <x:f>IF(A327="","",MIN(J327,8))</x:f>
      </x:c>
      <x:c r="L327" s="22" t="str">
        <x:f>IF(A327="","",MAX(J327-8,0))</x:f>
      </x:c>
      <x:c r="M327" s="20" t="str">
        <x:f>IF(A327="","",K327*Settings!$B$5)</x:f>
      </x:c>
      <x:c r="N327" s="20" t="str">
        <x:f>IF(A327="","",L327*Settings!$B$6)</x:f>
      </x:c>
      <x:c r="O327" s="22"/>
      <x:c r="P327" s="22"/>
      <x:c r="Q327" s="22" t="str">
        <x:f>IF(A327="","",MAX(O327-Settings!$B$7,0))</x:f>
      </x:c>
      <x:c r="R327" s="20" t="str">
        <x:f>IF(A327="","",Q327*Settings!$B$8)</x:f>
      </x:c>
      <x:c r="S327" s="20" t="str">
        <x:f>IF(A327="","",M327+N327)</x:f>
      </x:c>
      <x:c r="T327" s="20" t="str">
        <x:f>IF(A327="","",S327+R327)</x:f>
      </x:c>
    </x:row>
    <x:row r="328">
      <x:c r="A328" s="26"/>
      <x:c r="B328" s="26" t="str">
        <x:f>IF(A328="","",A328-MOD(WEEKDAY(A328,2)-5,7))</x:f>
      </x:c>
      <x:c r="C328" s="26" t="str">
        <x:f>IF(B328="","",B328+7)</x:f>
      </x:c>
      <x:c r="D328" t="str">
        <x:f>IF(A328="","",TEXT(A328,"dddd"))</x:f>
      </x:c>
      <x:c r="E328" s="24"/>
      <x:c r="F328" s="24"/>
      <x:c r="G328" s="32" t="n">
        <x:f>IF(AND(E328&lt;Settings!$B$11,F328&gt;Settings!$B$11),Settings!$B$12,0)</x:f>
        <x:v>0</x:v>
      </x:c>
      <x:c r="H328" s="32" t="n">
        <x:f>IF(AND(E328&lt;Settings!$B$13,F328&gt;Settings!$B$13),Settings!$B$14,0)</x:f>
        <x:v>0</x:v>
      </x:c>
      <x:c r="I328" s="32" t="str">
        <x:f>IF(A328="","",G328+H328)</x:f>
      </x:c>
      <x:c r="J328" s="22" t="str">
        <x:f>IF(A328="","",((F328-E328)*24)-(I328/60))</x:f>
      </x:c>
      <x:c r="K328" s="22" t="str">
        <x:f>IF(A328="","",MIN(J328,8))</x:f>
      </x:c>
      <x:c r="L328" s="22" t="str">
        <x:f>IF(A328="","",MAX(J328-8,0))</x:f>
      </x:c>
      <x:c r="M328" s="20" t="str">
        <x:f>IF(A328="","",K328*Settings!$B$5)</x:f>
      </x:c>
      <x:c r="N328" s="20" t="str">
        <x:f>IF(A328="","",L328*Settings!$B$6)</x:f>
      </x:c>
      <x:c r="O328" s="22"/>
      <x:c r="P328" s="22"/>
      <x:c r="Q328" s="22" t="str">
        <x:f>IF(A328="","",MAX(O328-Settings!$B$7,0))</x:f>
      </x:c>
      <x:c r="R328" s="20" t="str">
        <x:f>IF(A328="","",Q328*Settings!$B$8)</x:f>
      </x:c>
      <x:c r="S328" s="20" t="str">
        <x:f>IF(A328="","",M328+N328)</x:f>
      </x:c>
      <x:c r="T328" s="20" t="str">
        <x:f>IF(A328="","",S328+R328)</x:f>
      </x:c>
    </x:row>
    <x:row r="329">
      <x:c r="A329" s="26"/>
      <x:c r="B329" s="26" t="str">
        <x:f>IF(A329="","",A329-MOD(WEEKDAY(A329,2)-5,7))</x:f>
      </x:c>
      <x:c r="C329" s="26" t="str">
        <x:f>IF(B329="","",B329+7)</x:f>
      </x:c>
      <x:c r="D329" t="str">
        <x:f>IF(A329="","",TEXT(A329,"dddd"))</x:f>
      </x:c>
      <x:c r="E329" s="24"/>
      <x:c r="F329" s="24"/>
      <x:c r="G329" s="32" t="n">
        <x:f>IF(AND(E329&lt;Settings!$B$11,F329&gt;Settings!$B$11),Settings!$B$12,0)</x:f>
        <x:v>0</x:v>
      </x:c>
      <x:c r="H329" s="32" t="n">
        <x:f>IF(AND(E329&lt;Settings!$B$13,F329&gt;Settings!$B$13),Settings!$B$14,0)</x:f>
        <x:v>0</x:v>
      </x:c>
      <x:c r="I329" s="32" t="str">
        <x:f>IF(A329="","",G329+H329)</x:f>
      </x:c>
      <x:c r="J329" s="22" t="str">
        <x:f>IF(A329="","",((F329-E329)*24)-(I329/60))</x:f>
      </x:c>
      <x:c r="K329" s="22" t="str">
        <x:f>IF(A329="","",MIN(J329,8))</x:f>
      </x:c>
      <x:c r="L329" s="22" t="str">
        <x:f>IF(A329="","",MAX(J329-8,0))</x:f>
      </x:c>
      <x:c r="M329" s="20" t="str">
        <x:f>IF(A329="","",K329*Settings!$B$5)</x:f>
      </x:c>
      <x:c r="N329" s="20" t="str">
        <x:f>IF(A329="","",L329*Settings!$B$6)</x:f>
      </x:c>
      <x:c r="O329" s="22"/>
      <x:c r="P329" s="22"/>
      <x:c r="Q329" s="22" t="str">
        <x:f>IF(A329="","",MAX(O329-Settings!$B$7,0))</x:f>
      </x:c>
      <x:c r="R329" s="20" t="str">
        <x:f>IF(A329="","",Q329*Settings!$B$8)</x:f>
      </x:c>
      <x:c r="S329" s="20" t="str">
        <x:f>IF(A329="","",M329+N329)</x:f>
      </x:c>
      <x:c r="T329" s="20" t="str">
        <x:f>IF(A329="","",S329+R329)</x:f>
      </x:c>
    </x:row>
    <x:row r="330">
      <x:c r="A330" s="26"/>
      <x:c r="B330" s="26" t="str">
        <x:f>IF(A330="","",A330-MOD(WEEKDAY(A330,2)-5,7))</x:f>
      </x:c>
      <x:c r="C330" s="26" t="str">
        <x:f>IF(B330="","",B330+7)</x:f>
      </x:c>
      <x:c r="D330" t="str">
        <x:f>IF(A330="","",TEXT(A330,"dddd"))</x:f>
      </x:c>
      <x:c r="E330" s="24"/>
      <x:c r="F330" s="24"/>
      <x:c r="G330" s="32" t="n">
        <x:f>IF(AND(E330&lt;Settings!$B$11,F330&gt;Settings!$B$11),Settings!$B$12,0)</x:f>
        <x:v>0</x:v>
      </x:c>
      <x:c r="H330" s="32" t="n">
        <x:f>IF(AND(E330&lt;Settings!$B$13,F330&gt;Settings!$B$13),Settings!$B$14,0)</x:f>
        <x:v>0</x:v>
      </x:c>
      <x:c r="I330" s="32" t="str">
        <x:f>IF(A330="","",G330+H330)</x:f>
      </x:c>
      <x:c r="J330" s="22" t="str">
        <x:f>IF(A330="","",((F330-E330)*24)-(I330/60))</x:f>
      </x:c>
      <x:c r="K330" s="22" t="str">
        <x:f>IF(A330="","",MIN(J330,8))</x:f>
      </x:c>
      <x:c r="L330" s="22" t="str">
        <x:f>IF(A330="","",MAX(J330-8,0))</x:f>
      </x:c>
      <x:c r="M330" s="20" t="str">
        <x:f>IF(A330="","",K330*Settings!$B$5)</x:f>
      </x:c>
      <x:c r="N330" s="20" t="str">
        <x:f>IF(A330="","",L330*Settings!$B$6)</x:f>
      </x:c>
      <x:c r="O330" s="22"/>
      <x:c r="P330" s="22"/>
      <x:c r="Q330" s="22" t="str">
        <x:f>IF(A330="","",MAX(O330-Settings!$B$7,0))</x:f>
      </x:c>
      <x:c r="R330" s="20" t="str">
        <x:f>IF(A330="","",Q330*Settings!$B$8)</x:f>
      </x:c>
      <x:c r="S330" s="20" t="str">
        <x:f>IF(A330="","",M330+N330)</x:f>
      </x:c>
      <x:c r="T330" s="20" t="str">
        <x:f>IF(A330="","",S330+R330)</x:f>
      </x:c>
    </x:row>
    <x:row r="331">
      <x:c r="A331" s="26"/>
      <x:c r="B331" s="26" t="str">
        <x:f>IF(A331="","",A331-MOD(WEEKDAY(A331,2)-5,7))</x:f>
      </x:c>
      <x:c r="C331" s="26" t="str">
        <x:f>IF(B331="","",B331+7)</x:f>
      </x:c>
      <x:c r="D331" t="str">
        <x:f>IF(A331="","",TEXT(A331,"dddd"))</x:f>
      </x:c>
      <x:c r="E331" s="24"/>
      <x:c r="F331" s="24"/>
      <x:c r="G331" s="32" t="n">
        <x:f>IF(AND(E331&lt;Settings!$B$11,F331&gt;Settings!$B$11),Settings!$B$12,0)</x:f>
        <x:v>0</x:v>
      </x:c>
      <x:c r="H331" s="32" t="n">
        <x:f>IF(AND(E331&lt;Settings!$B$13,F331&gt;Settings!$B$13),Settings!$B$14,0)</x:f>
        <x:v>0</x:v>
      </x:c>
      <x:c r="I331" s="32" t="str">
        <x:f>IF(A331="","",G331+H331)</x:f>
      </x:c>
      <x:c r="J331" s="22" t="str">
        <x:f>IF(A331="","",((F331-E331)*24)-(I331/60))</x:f>
      </x:c>
      <x:c r="K331" s="22" t="str">
        <x:f>IF(A331="","",MIN(J331,8))</x:f>
      </x:c>
      <x:c r="L331" s="22" t="str">
        <x:f>IF(A331="","",MAX(J331-8,0))</x:f>
      </x:c>
      <x:c r="M331" s="20" t="str">
        <x:f>IF(A331="","",K331*Settings!$B$5)</x:f>
      </x:c>
      <x:c r="N331" s="20" t="str">
        <x:f>IF(A331="","",L331*Settings!$B$6)</x:f>
      </x:c>
      <x:c r="O331" s="22"/>
      <x:c r="P331" s="22"/>
      <x:c r="Q331" s="22" t="str">
        <x:f>IF(A331="","",MAX(O331-Settings!$B$7,0))</x:f>
      </x:c>
      <x:c r="R331" s="20" t="str">
        <x:f>IF(A331="","",Q331*Settings!$B$8)</x:f>
      </x:c>
      <x:c r="S331" s="20" t="str">
        <x:f>IF(A331="","",M331+N331)</x:f>
      </x:c>
      <x:c r="T331" s="20" t="str">
        <x:f>IF(A331="","",S331+R331)</x:f>
      </x:c>
    </x:row>
    <x:row r="332">
      <x:c r="A332" s="26"/>
      <x:c r="B332" s="26" t="str">
        <x:f>IF(A332="","",A332-MOD(WEEKDAY(A332,2)-5,7))</x:f>
      </x:c>
      <x:c r="C332" s="26" t="str">
        <x:f>IF(B332="","",B332+7)</x:f>
      </x:c>
      <x:c r="D332" t="str">
        <x:f>IF(A332="","",TEXT(A332,"dddd"))</x:f>
      </x:c>
      <x:c r="E332" s="24"/>
      <x:c r="F332" s="24"/>
      <x:c r="G332" s="32" t="n">
        <x:f>IF(AND(E332&lt;Settings!$B$11,F332&gt;Settings!$B$11),Settings!$B$12,0)</x:f>
        <x:v>0</x:v>
      </x:c>
      <x:c r="H332" s="32" t="n">
        <x:f>IF(AND(E332&lt;Settings!$B$13,F332&gt;Settings!$B$13),Settings!$B$14,0)</x:f>
        <x:v>0</x:v>
      </x:c>
      <x:c r="I332" s="32" t="str">
        <x:f>IF(A332="","",G332+H332)</x:f>
      </x:c>
      <x:c r="J332" s="22" t="str">
        <x:f>IF(A332="","",((F332-E332)*24)-(I332/60))</x:f>
      </x:c>
      <x:c r="K332" s="22" t="str">
        <x:f>IF(A332="","",MIN(J332,8))</x:f>
      </x:c>
      <x:c r="L332" s="22" t="str">
        <x:f>IF(A332="","",MAX(J332-8,0))</x:f>
      </x:c>
      <x:c r="M332" s="20" t="str">
        <x:f>IF(A332="","",K332*Settings!$B$5)</x:f>
      </x:c>
      <x:c r="N332" s="20" t="str">
        <x:f>IF(A332="","",L332*Settings!$B$6)</x:f>
      </x:c>
      <x:c r="O332" s="22"/>
      <x:c r="P332" s="22"/>
      <x:c r="Q332" s="22" t="str">
        <x:f>IF(A332="","",MAX(O332-Settings!$B$7,0))</x:f>
      </x:c>
      <x:c r="R332" s="20" t="str">
        <x:f>IF(A332="","",Q332*Settings!$B$8)</x:f>
      </x:c>
      <x:c r="S332" s="20" t="str">
        <x:f>IF(A332="","",M332+N332)</x:f>
      </x:c>
      <x:c r="T332" s="20" t="str">
        <x:f>IF(A332="","",S332+R332)</x:f>
      </x:c>
    </x:row>
    <x:row r="333">
      <x:c r="A333" s="26"/>
      <x:c r="B333" s="26" t="str">
        <x:f>IF(A333="","",A333-MOD(WEEKDAY(A333,2)-5,7))</x:f>
      </x:c>
      <x:c r="C333" s="26" t="str">
        <x:f>IF(B333="","",B333+7)</x:f>
      </x:c>
      <x:c r="D333" t="str">
        <x:f>IF(A333="","",TEXT(A333,"dddd"))</x:f>
      </x:c>
      <x:c r="E333" s="24"/>
      <x:c r="F333" s="24"/>
      <x:c r="G333" s="32" t="n">
        <x:f>IF(AND(E333&lt;Settings!$B$11,F333&gt;Settings!$B$11),Settings!$B$12,0)</x:f>
        <x:v>0</x:v>
      </x:c>
      <x:c r="H333" s="32" t="n">
        <x:f>IF(AND(E333&lt;Settings!$B$13,F333&gt;Settings!$B$13),Settings!$B$14,0)</x:f>
        <x:v>0</x:v>
      </x:c>
      <x:c r="I333" s="32" t="str">
        <x:f>IF(A333="","",G333+H333)</x:f>
      </x:c>
      <x:c r="J333" s="22" t="str">
        <x:f>IF(A333="","",((F333-E333)*24)-(I333/60))</x:f>
      </x:c>
      <x:c r="K333" s="22" t="str">
        <x:f>IF(A333="","",MIN(J333,8))</x:f>
      </x:c>
      <x:c r="L333" s="22" t="str">
        <x:f>IF(A333="","",MAX(J333-8,0))</x:f>
      </x:c>
      <x:c r="M333" s="20" t="str">
        <x:f>IF(A333="","",K333*Settings!$B$5)</x:f>
      </x:c>
      <x:c r="N333" s="20" t="str">
        <x:f>IF(A333="","",L333*Settings!$B$6)</x:f>
      </x:c>
      <x:c r="O333" s="22"/>
      <x:c r="P333" s="22"/>
      <x:c r="Q333" s="22" t="str">
        <x:f>IF(A333="","",MAX(O333-Settings!$B$7,0))</x:f>
      </x:c>
      <x:c r="R333" s="20" t="str">
        <x:f>IF(A333="","",Q333*Settings!$B$8)</x:f>
      </x:c>
      <x:c r="S333" s="20" t="str">
        <x:f>IF(A333="","",M333+N333)</x:f>
      </x:c>
      <x:c r="T333" s="20" t="str">
        <x:f>IF(A333="","",S333+R333)</x:f>
      </x:c>
    </x:row>
    <x:row r="334">
      <x:c r="A334" s="26"/>
      <x:c r="B334" s="26" t="str">
        <x:f>IF(A334="","",A334-MOD(WEEKDAY(A334,2)-5,7))</x:f>
      </x:c>
      <x:c r="C334" s="26" t="str">
        <x:f>IF(B334="","",B334+7)</x:f>
      </x:c>
      <x:c r="D334" t="str">
        <x:f>IF(A334="","",TEXT(A334,"dddd"))</x:f>
      </x:c>
      <x:c r="E334" s="24"/>
      <x:c r="F334" s="24"/>
      <x:c r="G334" s="32" t="n">
        <x:f>IF(AND(E334&lt;Settings!$B$11,F334&gt;Settings!$B$11),Settings!$B$12,0)</x:f>
        <x:v>0</x:v>
      </x:c>
      <x:c r="H334" s="32" t="n">
        <x:f>IF(AND(E334&lt;Settings!$B$13,F334&gt;Settings!$B$13),Settings!$B$14,0)</x:f>
        <x:v>0</x:v>
      </x:c>
      <x:c r="I334" s="32" t="str">
        <x:f>IF(A334="","",G334+H334)</x:f>
      </x:c>
      <x:c r="J334" s="22" t="str">
        <x:f>IF(A334="","",((F334-E334)*24)-(I334/60))</x:f>
      </x:c>
      <x:c r="K334" s="22" t="str">
        <x:f>IF(A334="","",MIN(J334,8))</x:f>
      </x:c>
      <x:c r="L334" s="22" t="str">
        <x:f>IF(A334="","",MAX(J334-8,0))</x:f>
      </x:c>
      <x:c r="M334" s="20" t="str">
        <x:f>IF(A334="","",K334*Settings!$B$5)</x:f>
      </x:c>
      <x:c r="N334" s="20" t="str">
        <x:f>IF(A334="","",L334*Settings!$B$6)</x:f>
      </x:c>
      <x:c r="O334" s="22"/>
      <x:c r="P334" s="22"/>
      <x:c r="Q334" s="22" t="str">
        <x:f>IF(A334="","",MAX(O334-Settings!$B$7,0))</x:f>
      </x:c>
      <x:c r="R334" s="20" t="str">
        <x:f>IF(A334="","",Q334*Settings!$B$8)</x:f>
      </x:c>
      <x:c r="S334" s="20" t="str">
        <x:f>IF(A334="","",M334+N334)</x:f>
      </x:c>
      <x:c r="T334" s="20" t="str">
        <x:f>IF(A334="","",S334+R334)</x:f>
      </x:c>
    </x:row>
    <x:row r="335">
      <x:c r="A335" s="26"/>
      <x:c r="B335" s="26" t="str">
        <x:f>IF(A335="","",A335-MOD(WEEKDAY(A335,2)-5,7))</x:f>
      </x:c>
      <x:c r="C335" s="26" t="str">
        <x:f>IF(B335="","",B335+7)</x:f>
      </x:c>
      <x:c r="D335" t="str">
        <x:f>IF(A335="","",TEXT(A335,"dddd"))</x:f>
      </x:c>
      <x:c r="E335" s="24"/>
      <x:c r="F335" s="24"/>
      <x:c r="G335" s="32" t="n">
        <x:f>IF(AND(E335&lt;Settings!$B$11,F335&gt;Settings!$B$11),Settings!$B$12,0)</x:f>
        <x:v>0</x:v>
      </x:c>
      <x:c r="H335" s="32" t="n">
        <x:f>IF(AND(E335&lt;Settings!$B$13,F335&gt;Settings!$B$13),Settings!$B$14,0)</x:f>
        <x:v>0</x:v>
      </x:c>
      <x:c r="I335" s="32" t="str">
        <x:f>IF(A335="","",G335+H335)</x:f>
      </x:c>
      <x:c r="J335" s="22" t="str">
        <x:f>IF(A335="","",((F335-E335)*24)-(I335/60))</x:f>
      </x:c>
      <x:c r="K335" s="22" t="str">
        <x:f>IF(A335="","",MIN(J335,8))</x:f>
      </x:c>
      <x:c r="L335" s="22" t="str">
        <x:f>IF(A335="","",MAX(J335-8,0))</x:f>
      </x:c>
      <x:c r="M335" s="20" t="str">
        <x:f>IF(A335="","",K335*Settings!$B$5)</x:f>
      </x:c>
      <x:c r="N335" s="20" t="str">
        <x:f>IF(A335="","",L335*Settings!$B$6)</x:f>
      </x:c>
      <x:c r="O335" s="22"/>
      <x:c r="P335" s="22"/>
      <x:c r="Q335" s="22" t="str">
        <x:f>IF(A335="","",MAX(O335-Settings!$B$7,0))</x:f>
      </x:c>
      <x:c r="R335" s="20" t="str">
        <x:f>IF(A335="","",Q335*Settings!$B$8)</x:f>
      </x:c>
      <x:c r="S335" s="20" t="str">
        <x:f>IF(A335="","",M335+N335)</x:f>
      </x:c>
      <x:c r="T335" s="20" t="str">
        <x:f>IF(A335="","",S335+R335)</x:f>
      </x:c>
    </x:row>
    <x:row r="336">
      <x:c r="A336" s="26"/>
      <x:c r="B336" s="26" t="str">
        <x:f>IF(A336="","",A336-MOD(WEEKDAY(A336,2)-5,7))</x:f>
      </x:c>
      <x:c r="C336" s="26" t="str">
        <x:f>IF(B336="","",B336+7)</x:f>
      </x:c>
      <x:c r="D336" t="str">
        <x:f>IF(A336="","",TEXT(A336,"dddd"))</x:f>
      </x:c>
      <x:c r="E336" s="24"/>
      <x:c r="F336" s="24"/>
      <x:c r="G336" s="32" t="n">
        <x:f>IF(AND(E336&lt;Settings!$B$11,F336&gt;Settings!$B$11),Settings!$B$12,0)</x:f>
        <x:v>0</x:v>
      </x:c>
      <x:c r="H336" s="32" t="n">
        <x:f>IF(AND(E336&lt;Settings!$B$13,F336&gt;Settings!$B$13),Settings!$B$14,0)</x:f>
        <x:v>0</x:v>
      </x:c>
      <x:c r="I336" s="32" t="str">
        <x:f>IF(A336="","",G336+H336)</x:f>
      </x:c>
      <x:c r="J336" s="22" t="str">
        <x:f>IF(A336="","",((F336-E336)*24)-(I336/60))</x:f>
      </x:c>
      <x:c r="K336" s="22" t="str">
        <x:f>IF(A336="","",MIN(J336,8))</x:f>
      </x:c>
      <x:c r="L336" s="22" t="str">
        <x:f>IF(A336="","",MAX(J336-8,0))</x:f>
      </x:c>
      <x:c r="M336" s="20" t="str">
        <x:f>IF(A336="","",K336*Settings!$B$5)</x:f>
      </x:c>
      <x:c r="N336" s="20" t="str">
        <x:f>IF(A336="","",L336*Settings!$B$6)</x:f>
      </x:c>
      <x:c r="O336" s="22"/>
      <x:c r="P336" s="22"/>
      <x:c r="Q336" s="22" t="str">
        <x:f>IF(A336="","",MAX(O336-Settings!$B$7,0))</x:f>
      </x:c>
      <x:c r="R336" s="20" t="str">
        <x:f>IF(A336="","",Q336*Settings!$B$8)</x:f>
      </x:c>
      <x:c r="S336" s="20" t="str">
        <x:f>IF(A336="","",M336+N336)</x:f>
      </x:c>
      <x:c r="T336" s="20" t="str">
        <x:f>IF(A336="","",S336+R336)</x:f>
      </x:c>
    </x:row>
    <x:row r="337">
      <x:c r="A337" s="26"/>
      <x:c r="B337" s="26" t="str">
        <x:f>IF(A337="","",A337-MOD(WEEKDAY(A337,2)-5,7))</x:f>
      </x:c>
      <x:c r="C337" s="26" t="str">
        <x:f>IF(B337="","",B337+7)</x:f>
      </x:c>
      <x:c r="D337" t="str">
        <x:f>IF(A337="","",TEXT(A337,"dddd"))</x:f>
      </x:c>
      <x:c r="E337" s="24"/>
      <x:c r="F337" s="24"/>
      <x:c r="G337" s="32" t="n">
        <x:f>IF(AND(E337&lt;Settings!$B$11,F337&gt;Settings!$B$11),Settings!$B$12,0)</x:f>
        <x:v>0</x:v>
      </x:c>
      <x:c r="H337" s="32" t="n">
        <x:f>IF(AND(E337&lt;Settings!$B$13,F337&gt;Settings!$B$13),Settings!$B$14,0)</x:f>
        <x:v>0</x:v>
      </x:c>
      <x:c r="I337" s="32" t="str">
        <x:f>IF(A337="","",G337+H337)</x:f>
      </x:c>
      <x:c r="J337" s="22" t="str">
        <x:f>IF(A337="","",((F337-E337)*24)-(I337/60))</x:f>
      </x:c>
      <x:c r="K337" s="22" t="str">
        <x:f>IF(A337="","",MIN(J337,8))</x:f>
      </x:c>
      <x:c r="L337" s="22" t="str">
        <x:f>IF(A337="","",MAX(J337-8,0))</x:f>
      </x:c>
      <x:c r="M337" s="20" t="str">
        <x:f>IF(A337="","",K337*Settings!$B$5)</x:f>
      </x:c>
      <x:c r="N337" s="20" t="str">
        <x:f>IF(A337="","",L337*Settings!$B$6)</x:f>
      </x:c>
      <x:c r="O337" s="22"/>
      <x:c r="P337" s="22"/>
      <x:c r="Q337" s="22" t="str">
        <x:f>IF(A337="","",MAX(O337-Settings!$B$7,0))</x:f>
      </x:c>
      <x:c r="R337" s="20" t="str">
        <x:f>IF(A337="","",Q337*Settings!$B$8)</x:f>
      </x:c>
      <x:c r="S337" s="20" t="str">
        <x:f>IF(A337="","",M337+N337)</x:f>
      </x:c>
      <x:c r="T337" s="20" t="str">
        <x:f>IF(A337="","",S337+R337)</x:f>
      </x:c>
    </x:row>
    <x:row r="338">
      <x:c r="A338" s="26"/>
      <x:c r="B338" s="26" t="str">
        <x:f>IF(A338="","",A338-MOD(WEEKDAY(A338,2)-5,7))</x:f>
      </x:c>
      <x:c r="C338" s="26" t="str">
        <x:f>IF(B338="","",B338+7)</x:f>
      </x:c>
      <x:c r="D338" t="str">
        <x:f>IF(A338="","",TEXT(A338,"dddd"))</x:f>
      </x:c>
      <x:c r="E338" s="24"/>
      <x:c r="F338" s="24"/>
      <x:c r="G338" s="32" t="n">
        <x:f>IF(AND(E338&lt;Settings!$B$11,F338&gt;Settings!$B$11),Settings!$B$12,0)</x:f>
        <x:v>0</x:v>
      </x:c>
      <x:c r="H338" s="32" t="n">
        <x:f>IF(AND(E338&lt;Settings!$B$13,F338&gt;Settings!$B$13),Settings!$B$14,0)</x:f>
        <x:v>0</x:v>
      </x:c>
      <x:c r="I338" s="32" t="str">
        <x:f>IF(A338="","",G338+H338)</x:f>
      </x:c>
      <x:c r="J338" s="22" t="str">
        <x:f>IF(A338="","",((F338-E338)*24)-(I338/60))</x:f>
      </x:c>
      <x:c r="K338" s="22" t="str">
        <x:f>IF(A338="","",MIN(J338,8))</x:f>
      </x:c>
      <x:c r="L338" s="22" t="str">
        <x:f>IF(A338="","",MAX(J338-8,0))</x:f>
      </x:c>
      <x:c r="M338" s="20" t="str">
        <x:f>IF(A338="","",K338*Settings!$B$5)</x:f>
      </x:c>
      <x:c r="N338" s="20" t="str">
        <x:f>IF(A338="","",L338*Settings!$B$6)</x:f>
      </x:c>
      <x:c r="O338" s="22"/>
      <x:c r="P338" s="22"/>
      <x:c r="Q338" s="22" t="str">
        <x:f>IF(A338="","",MAX(O338-Settings!$B$7,0))</x:f>
      </x:c>
      <x:c r="R338" s="20" t="str">
        <x:f>IF(A338="","",Q338*Settings!$B$8)</x:f>
      </x:c>
      <x:c r="S338" s="20" t="str">
        <x:f>IF(A338="","",M338+N338)</x:f>
      </x:c>
      <x:c r="T338" s="20" t="str">
        <x:f>IF(A338="","",S338+R338)</x:f>
      </x:c>
    </x:row>
    <x:row r="339">
      <x:c r="A339" s="26"/>
      <x:c r="B339" s="26" t="str">
        <x:f>IF(A339="","",A339-MOD(WEEKDAY(A339,2)-5,7))</x:f>
      </x:c>
      <x:c r="C339" s="26" t="str">
        <x:f>IF(B339="","",B339+7)</x:f>
      </x:c>
      <x:c r="D339" t="str">
        <x:f>IF(A339="","",TEXT(A339,"dddd"))</x:f>
      </x:c>
      <x:c r="E339" s="24"/>
      <x:c r="F339" s="24"/>
      <x:c r="G339" s="32" t="n">
        <x:f>IF(AND(E339&lt;Settings!$B$11,F339&gt;Settings!$B$11),Settings!$B$12,0)</x:f>
        <x:v>0</x:v>
      </x:c>
      <x:c r="H339" s="32" t="n">
        <x:f>IF(AND(E339&lt;Settings!$B$13,F339&gt;Settings!$B$13),Settings!$B$14,0)</x:f>
        <x:v>0</x:v>
      </x:c>
      <x:c r="I339" s="32" t="str">
        <x:f>IF(A339="","",G339+H339)</x:f>
      </x:c>
      <x:c r="J339" s="22" t="str">
        <x:f>IF(A339="","",((F339-E339)*24)-(I339/60))</x:f>
      </x:c>
      <x:c r="K339" s="22" t="str">
        <x:f>IF(A339="","",MIN(J339,8))</x:f>
      </x:c>
      <x:c r="L339" s="22" t="str">
        <x:f>IF(A339="","",MAX(J339-8,0))</x:f>
      </x:c>
      <x:c r="M339" s="20" t="str">
        <x:f>IF(A339="","",K339*Settings!$B$5)</x:f>
      </x:c>
      <x:c r="N339" s="20" t="str">
        <x:f>IF(A339="","",L339*Settings!$B$6)</x:f>
      </x:c>
      <x:c r="O339" s="22"/>
      <x:c r="P339" s="22"/>
      <x:c r="Q339" s="22" t="str">
        <x:f>IF(A339="","",MAX(O339-Settings!$B$7,0))</x:f>
      </x:c>
      <x:c r="R339" s="20" t="str">
        <x:f>IF(A339="","",Q339*Settings!$B$8)</x:f>
      </x:c>
      <x:c r="S339" s="20" t="str">
        <x:f>IF(A339="","",M339+N339)</x:f>
      </x:c>
      <x:c r="T339" s="20" t="str">
        <x:f>IF(A339="","",S339+R339)</x:f>
      </x:c>
    </x:row>
    <x:row r="340">
      <x:c r="A340" s="26"/>
      <x:c r="B340" s="26" t="str">
        <x:f>IF(A340="","",A340-MOD(WEEKDAY(A340,2)-5,7))</x:f>
      </x:c>
      <x:c r="C340" s="26" t="str">
        <x:f>IF(B340="","",B340+7)</x:f>
      </x:c>
      <x:c r="D340" t="str">
        <x:f>IF(A340="","",TEXT(A340,"dddd"))</x:f>
      </x:c>
      <x:c r="E340" s="24"/>
      <x:c r="F340" s="24"/>
      <x:c r="G340" s="32" t="n">
        <x:f>IF(AND(E340&lt;Settings!$B$11,F340&gt;Settings!$B$11),Settings!$B$12,0)</x:f>
        <x:v>0</x:v>
      </x:c>
      <x:c r="H340" s="32" t="n">
        <x:f>IF(AND(E340&lt;Settings!$B$13,F340&gt;Settings!$B$13),Settings!$B$14,0)</x:f>
        <x:v>0</x:v>
      </x:c>
      <x:c r="I340" s="32" t="str">
        <x:f>IF(A340="","",G340+H340)</x:f>
      </x:c>
      <x:c r="J340" s="22" t="str">
        <x:f>IF(A340="","",((F340-E340)*24)-(I340/60))</x:f>
      </x:c>
      <x:c r="K340" s="22" t="str">
        <x:f>IF(A340="","",MIN(J340,8))</x:f>
      </x:c>
      <x:c r="L340" s="22" t="str">
        <x:f>IF(A340="","",MAX(J340-8,0))</x:f>
      </x:c>
      <x:c r="M340" s="20" t="str">
        <x:f>IF(A340="","",K340*Settings!$B$5)</x:f>
      </x:c>
      <x:c r="N340" s="20" t="str">
        <x:f>IF(A340="","",L340*Settings!$B$6)</x:f>
      </x:c>
      <x:c r="O340" s="22"/>
      <x:c r="P340" s="22"/>
      <x:c r="Q340" s="22" t="str">
        <x:f>IF(A340="","",MAX(O340-Settings!$B$7,0))</x:f>
      </x:c>
      <x:c r="R340" s="20" t="str">
        <x:f>IF(A340="","",Q340*Settings!$B$8)</x:f>
      </x:c>
      <x:c r="S340" s="20" t="str">
        <x:f>IF(A340="","",M340+N340)</x:f>
      </x:c>
      <x:c r="T340" s="20" t="str">
        <x:f>IF(A340="","",S340+R340)</x:f>
      </x:c>
    </x:row>
    <x:row r="341">
      <x:c r="A341" s="26"/>
      <x:c r="B341" s="26" t="str">
        <x:f>IF(A341="","",A341-MOD(WEEKDAY(A341,2)-5,7))</x:f>
      </x:c>
      <x:c r="C341" s="26" t="str">
        <x:f>IF(B341="","",B341+7)</x:f>
      </x:c>
      <x:c r="D341" t="str">
        <x:f>IF(A341="","",TEXT(A341,"dddd"))</x:f>
      </x:c>
      <x:c r="E341" s="24"/>
      <x:c r="F341" s="24"/>
      <x:c r="G341" s="32" t="n">
        <x:f>IF(AND(E341&lt;Settings!$B$11,F341&gt;Settings!$B$11),Settings!$B$12,0)</x:f>
        <x:v>0</x:v>
      </x:c>
      <x:c r="H341" s="32" t="n">
        <x:f>IF(AND(E341&lt;Settings!$B$13,F341&gt;Settings!$B$13),Settings!$B$14,0)</x:f>
        <x:v>0</x:v>
      </x:c>
      <x:c r="I341" s="32" t="str">
        <x:f>IF(A341="","",G341+H341)</x:f>
      </x:c>
      <x:c r="J341" s="22" t="str">
        <x:f>IF(A341="","",((F341-E341)*24)-(I341/60))</x:f>
      </x:c>
      <x:c r="K341" s="22" t="str">
        <x:f>IF(A341="","",MIN(J341,8))</x:f>
      </x:c>
      <x:c r="L341" s="22" t="str">
        <x:f>IF(A341="","",MAX(J341-8,0))</x:f>
      </x:c>
      <x:c r="M341" s="20" t="str">
        <x:f>IF(A341="","",K341*Settings!$B$5)</x:f>
      </x:c>
      <x:c r="N341" s="20" t="str">
        <x:f>IF(A341="","",L341*Settings!$B$6)</x:f>
      </x:c>
      <x:c r="O341" s="22"/>
      <x:c r="P341" s="22"/>
      <x:c r="Q341" s="22" t="str">
        <x:f>IF(A341="","",MAX(O341-Settings!$B$7,0))</x:f>
      </x:c>
      <x:c r="R341" s="20" t="str">
        <x:f>IF(A341="","",Q341*Settings!$B$8)</x:f>
      </x:c>
      <x:c r="S341" s="20" t="str">
        <x:f>IF(A341="","",M341+N341)</x:f>
      </x:c>
      <x:c r="T341" s="20" t="str">
        <x:f>IF(A341="","",S341+R341)</x:f>
      </x:c>
    </x:row>
    <x:row r="342">
      <x:c r="A342" s="26"/>
      <x:c r="B342" s="26" t="str">
        <x:f>IF(A342="","",A342-MOD(WEEKDAY(A342,2)-5,7))</x:f>
      </x:c>
      <x:c r="C342" s="26" t="str">
        <x:f>IF(B342="","",B342+7)</x:f>
      </x:c>
      <x:c r="D342" t="str">
        <x:f>IF(A342="","",TEXT(A342,"dddd"))</x:f>
      </x:c>
      <x:c r="E342" s="24"/>
      <x:c r="F342" s="24"/>
      <x:c r="G342" s="32" t="n">
        <x:f>IF(AND(E342&lt;Settings!$B$11,F342&gt;Settings!$B$11),Settings!$B$12,0)</x:f>
        <x:v>0</x:v>
      </x:c>
      <x:c r="H342" s="32" t="n">
        <x:f>IF(AND(E342&lt;Settings!$B$13,F342&gt;Settings!$B$13),Settings!$B$14,0)</x:f>
        <x:v>0</x:v>
      </x:c>
      <x:c r="I342" s="32" t="str">
        <x:f>IF(A342="","",G342+H342)</x:f>
      </x:c>
      <x:c r="J342" s="22" t="str">
        <x:f>IF(A342="","",((F342-E342)*24)-(I342/60))</x:f>
      </x:c>
      <x:c r="K342" s="22" t="str">
        <x:f>IF(A342="","",MIN(J342,8))</x:f>
      </x:c>
      <x:c r="L342" s="22" t="str">
        <x:f>IF(A342="","",MAX(J342-8,0))</x:f>
      </x:c>
      <x:c r="M342" s="20" t="str">
        <x:f>IF(A342="","",K342*Settings!$B$5)</x:f>
      </x:c>
      <x:c r="N342" s="20" t="str">
        <x:f>IF(A342="","",L342*Settings!$B$6)</x:f>
      </x:c>
      <x:c r="O342" s="22"/>
      <x:c r="P342" s="22"/>
      <x:c r="Q342" s="22" t="str">
        <x:f>IF(A342="","",MAX(O342-Settings!$B$7,0))</x:f>
      </x:c>
      <x:c r="R342" s="20" t="str">
        <x:f>IF(A342="","",Q342*Settings!$B$8)</x:f>
      </x:c>
      <x:c r="S342" s="20" t="str">
        <x:f>IF(A342="","",M342+N342)</x:f>
      </x:c>
      <x:c r="T342" s="20" t="str">
        <x:f>IF(A342="","",S342+R342)</x:f>
      </x:c>
    </x:row>
    <x:row r="343">
      <x:c r="A343" s="26"/>
      <x:c r="B343" s="26" t="str">
        <x:f>IF(A343="","",A343-MOD(WEEKDAY(A343,2)-5,7))</x:f>
      </x:c>
      <x:c r="C343" s="26" t="str">
        <x:f>IF(B343="","",B343+7)</x:f>
      </x:c>
      <x:c r="D343" t="str">
        <x:f>IF(A343="","",TEXT(A343,"dddd"))</x:f>
      </x:c>
      <x:c r="E343" s="24"/>
      <x:c r="F343" s="24"/>
      <x:c r="G343" s="32" t="n">
        <x:f>IF(AND(E343&lt;Settings!$B$11,F343&gt;Settings!$B$11),Settings!$B$12,0)</x:f>
        <x:v>0</x:v>
      </x:c>
      <x:c r="H343" s="32" t="n">
        <x:f>IF(AND(E343&lt;Settings!$B$13,F343&gt;Settings!$B$13),Settings!$B$14,0)</x:f>
        <x:v>0</x:v>
      </x:c>
      <x:c r="I343" s="32" t="str">
        <x:f>IF(A343="","",G343+H343)</x:f>
      </x:c>
      <x:c r="J343" s="22" t="str">
        <x:f>IF(A343="","",((F343-E343)*24)-(I343/60))</x:f>
      </x:c>
      <x:c r="K343" s="22" t="str">
        <x:f>IF(A343="","",MIN(J343,8))</x:f>
      </x:c>
      <x:c r="L343" s="22" t="str">
        <x:f>IF(A343="","",MAX(J343-8,0))</x:f>
      </x:c>
      <x:c r="M343" s="20" t="str">
        <x:f>IF(A343="","",K343*Settings!$B$5)</x:f>
      </x:c>
      <x:c r="N343" s="20" t="str">
        <x:f>IF(A343="","",L343*Settings!$B$6)</x:f>
      </x:c>
      <x:c r="O343" s="22"/>
      <x:c r="P343" s="22"/>
      <x:c r="Q343" s="22" t="str">
        <x:f>IF(A343="","",MAX(O343-Settings!$B$7,0))</x:f>
      </x:c>
      <x:c r="R343" s="20" t="str">
        <x:f>IF(A343="","",Q343*Settings!$B$8)</x:f>
      </x:c>
      <x:c r="S343" s="20" t="str">
        <x:f>IF(A343="","",M343+N343)</x:f>
      </x:c>
      <x:c r="T343" s="20" t="str">
        <x:f>IF(A343="","",S343+R343)</x:f>
      </x:c>
    </x:row>
    <x:row r="344">
      <x:c r="A344" s="26"/>
      <x:c r="B344" s="26" t="str">
        <x:f>IF(A344="","",A344-MOD(WEEKDAY(A344,2)-5,7))</x:f>
      </x:c>
      <x:c r="C344" s="26" t="str">
        <x:f>IF(B344="","",B344+7)</x:f>
      </x:c>
      <x:c r="D344" t="str">
        <x:f>IF(A344="","",TEXT(A344,"dddd"))</x:f>
      </x:c>
      <x:c r="E344" s="24"/>
      <x:c r="F344" s="24"/>
      <x:c r="G344" s="32" t="n">
        <x:f>IF(AND(E344&lt;Settings!$B$11,F344&gt;Settings!$B$11),Settings!$B$12,0)</x:f>
        <x:v>0</x:v>
      </x:c>
      <x:c r="H344" s="32" t="n">
        <x:f>IF(AND(E344&lt;Settings!$B$13,F344&gt;Settings!$B$13),Settings!$B$14,0)</x:f>
        <x:v>0</x:v>
      </x:c>
      <x:c r="I344" s="32" t="str">
        <x:f>IF(A344="","",G344+H344)</x:f>
      </x:c>
      <x:c r="J344" s="22" t="str">
        <x:f>IF(A344="","",((F344-E344)*24)-(I344/60))</x:f>
      </x:c>
      <x:c r="K344" s="22" t="str">
        <x:f>IF(A344="","",MIN(J344,8))</x:f>
      </x:c>
      <x:c r="L344" s="22" t="str">
        <x:f>IF(A344="","",MAX(J344-8,0))</x:f>
      </x:c>
      <x:c r="M344" s="20" t="str">
        <x:f>IF(A344="","",K344*Settings!$B$5)</x:f>
      </x:c>
      <x:c r="N344" s="20" t="str">
        <x:f>IF(A344="","",L344*Settings!$B$6)</x:f>
      </x:c>
      <x:c r="O344" s="22"/>
      <x:c r="P344" s="22"/>
      <x:c r="Q344" s="22" t="str">
        <x:f>IF(A344="","",MAX(O344-Settings!$B$7,0))</x:f>
      </x:c>
      <x:c r="R344" s="20" t="str">
        <x:f>IF(A344="","",Q344*Settings!$B$8)</x:f>
      </x:c>
      <x:c r="S344" s="20" t="str">
        <x:f>IF(A344="","",M344+N344)</x:f>
      </x:c>
      <x:c r="T344" s="20" t="str">
        <x:f>IF(A344="","",S344+R344)</x:f>
      </x:c>
    </x:row>
    <x:row r="345">
      <x:c r="A345" s="26"/>
      <x:c r="B345" s="26" t="str">
        <x:f>IF(A345="","",A345-MOD(WEEKDAY(A345,2)-5,7))</x:f>
      </x:c>
      <x:c r="C345" s="26" t="str">
        <x:f>IF(B345="","",B345+7)</x:f>
      </x:c>
      <x:c r="D345" t="str">
        <x:f>IF(A345="","",TEXT(A345,"dddd"))</x:f>
      </x:c>
      <x:c r="E345" s="24"/>
      <x:c r="F345" s="24"/>
      <x:c r="G345" s="32" t="n">
        <x:f>IF(AND(E345&lt;Settings!$B$11,F345&gt;Settings!$B$11),Settings!$B$12,0)</x:f>
        <x:v>0</x:v>
      </x:c>
      <x:c r="H345" s="32" t="n">
        <x:f>IF(AND(E345&lt;Settings!$B$13,F345&gt;Settings!$B$13),Settings!$B$14,0)</x:f>
        <x:v>0</x:v>
      </x:c>
      <x:c r="I345" s="32" t="str">
        <x:f>IF(A345="","",G345+H345)</x:f>
      </x:c>
      <x:c r="J345" s="22" t="str">
        <x:f>IF(A345="","",((F345-E345)*24)-(I345/60))</x:f>
      </x:c>
      <x:c r="K345" s="22" t="str">
        <x:f>IF(A345="","",MIN(J345,8))</x:f>
      </x:c>
      <x:c r="L345" s="22" t="str">
        <x:f>IF(A345="","",MAX(J345-8,0))</x:f>
      </x:c>
      <x:c r="M345" s="20" t="str">
        <x:f>IF(A345="","",K345*Settings!$B$5)</x:f>
      </x:c>
      <x:c r="N345" s="20" t="str">
        <x:f>IF(A345="","",L345*Settings!$B$6)</x:f>
      </x:c>
      <x:c r="O345" s="22"/>
      <x:c r="P345" s="22"/>
      <x:c r="Q345" s="22" t="str">
        <x:f>IF(A345="","",MAX(O345-Settings!$B$7,0))</x:f>
      </x:c>
      <x:c r="R345" s="20" t="str">
        <x:f>IF(A345="","",Q345*Settings!$B$8)</x:f>
      </x:c>
      <x:c r="S345" s="20" t="str">
        <x:f>IF(A345="","",M345+N345)</x:f>
      </x:c>
      <x:c r="T345" s="20" t="str">
        <x:f>IF(A345="","",S345+R345)</x:f>
      </x:c>
    </x:row>
    <x:row r="346">
      <x:c r="A346" s="26"/>
      <x:c r="B346" s="26" t="str">
        <x:f>IF(A346="","",A346-MOD(WEEKDAY(A346,2)-5,7))</x:f>
      </x:c>
      <x:c r="C346" s="26" t="str">
        <x:f>IF(B346="","",B346+7)</x:f>
      </x:c>
      <x:c r="D346" t="str">
        <x:f>IF(A346="","",TEXT(A346,"dddd"))</x:f>
      </x:c>
      <x:c r="E346" s="24"/>
      <x:c r="F346" s="24"/>
      <x:c r="G346" s="32" t="n">
        <x:f>IF(AND(E346&lt;Settings!$B$11,F346&gt;Settings!$B$11),Settings!$B$12,0)</x:f>
        <x:v>0</x:v>
      </x:c>
      <x:c r="H346" s="32" t="n">
        <x:f>IF(AND(E346&lt;Settings!$B$13,F346&gt;Settings!$B$13),Settings!$B$14,0)</x:f>
        <x:v>0</x:v>
      </x:c>
      <x:c r="I346" s="32" t="str">
        <x:f>IF(A346="","",G346+H346)</x:f>
      </x:c>
      <x:c r="J346" s="22" t="str">
        <x:f>IF(A346="","",((F346-E346)*24)-(I346/60))</x:f>
      </x:c>
      <x:c r="K346" s="22" t="str">
        <x:f>IF(A346="","",MIN(J346,8))</x:f>
      </x:c>
      <x:c r="L346" s="22" t="str">
        <x:f>IF(A346="","",MAX(J346-8,0))</x:f>
      </x:c>
      <x:c r="M346" s="20" t="str">
        <x:f>IF(A346="","",K346*Settings!$B$5)</x:f>
      </x:c>
      <x:c r="N346" s="20" t="str">
        <x:f>IF(A346="","",L346*Settings!$B$6)</x:f>
      </x:c>
      <x:c r="O346" s="22"/>
      <x:c r="P346" s="22"/>
      <x:c r="Q346" s="22" t="str">
        <x:f>IF(A346="","",MAX(O346-Settings!$B$7,0))</x:f>
      </x:c>
      <x:c r="R346" s="20" t="str">
        <x:f>IF(A346="","",Q346*Settings!$B$8)</x:f>
      </x:c>
      <x:c r="S346" s="20" t="str">
        <x:f>IF(A346="","",M346+N346)</x:f>
      </x:c>
      <x:c r="T346" s="20" t="str">
        <x:f>IF(A346="","",S346+R346)</x:f>
      </x:c>
    </x:row>
    <x:row r="347">
      <x:c r="A347" s="26"/>
      <x:c r="B347" s="26" t="str">
        <x:f>IF(A347="","",A347-MOD(WEEKDAY(A347,2)-5,7))</x:f>
      </x:c>
      <x:c r="C347" s="26" t="str">
        <x:f>IF(B347="","",B347+7)</x:f>
      </x:c>
      <x:c r="D347" t="str">
        <x:f>IF(A347="","",TEXT(A347,"dddd"))</x:f>
      </x:c>
      <x:c r="E347" s="24"/>
      <x:c r="F347" s="24"/>
      <x:c r="G347" s="32" t="n">
        <x:f>IF(AND(E347&lt;Settings!$B$11,F347&gt;Settings!$B$11),Settings!$B$12,0)</x:f>
        <x:v>0</x:v>
      </x:c>
      <x:c r="H347" s="32" t="n">
        <x:f>IF(AND(E347&lt;Settings!$B$13,F347&gt;Settings!$B$13),Settings!$B$14,0)</x:f>
        <x:v>0</x:v>
      </x:c>
      <x:c r="I347" s="32" t="str">
        <x:f>IF(A347="","",G347+H347)</x:f>
      </x:c>
      <x:c r="J347" s="22" t="str">
        <x:f>IF(A347="","",((F347-E347)*24)-(I347/60))</x:f>
      </x:c>
      <x:c r="K347" s="22" t="str">
        <x:f>IF(A347="","",MIN(J347,8))</x:f>
      </x:c>
      <x:c r="L347" s="22" t="str">
        <x:f>IF(A347="","",MAX(J347-8,0))</x:f>
      </x:c>
      <x:c r="M347" s="20" t="str">
        <x:f>IF(A347="","",K347*Settings!$B$5)</x:f>
      </x:c>
      <x:c r="N347" s="20" t="str">
        <x:f>IF(A347="","",L347*Settings!$B$6)</x:f>
      </x:c>
      <x:c r="O347" s="22"/>
      <x:c r="P347" s="22"/>
      <x:c r="Q347" s="22" t="str">
        <x:f>IF(A347="","",MAX(O347-Settings!$B$7,0))</x:f>
      </x:c>
      <x:c r="R347" s="20" t="str">
        <x:f>IF(A347="","",Q347*Settings!$B$8)</x:f>
      </x:c>
      <x:c r="S347" s="20" t="str">
        <x:f>IF(A347="","",M347+N347)</x:f>
      </x:c>
      <x:c r="T347" s="20" t="str">
        <x:f>IF(A347="","",S347+R347)</x:f>
      </x:c>
    </x:row>
    <x:row r="348">
      <x:c r="A348" s="26"/>
      <x:c r="B348" s="26" t="str">
        <x:f>IF(A348="","",A348-MOD(WEEKDAY(A348,2)-5,7))</x:f>
      </x:c>
      <x:c r="C348" s="26" t="str">
        <x:f>IF(B348="","",B348+7)</x:f>
      </x:c>
      <x:c r="D348" t="str">
        <x:f>IF(A348="","",TEXT(A348,"dddd"))</x:f>
      </x:c>
      <x:c r="E348" s="24"/>
      <x:c r="F348" s="24"/>
      <x:c r="G348" s="32" t="n">
        <x:f>IF(AND(E348&lt;Settings!$B$11,F348&gt;Settings!$B$11),Settings!$B$12,0)</x:f>
        <x:v>0</x:v>
      </x:c>
      <x:c r="H348" s="32" t="n">
        <x:f>IF(AND(E348&lt;Settings!$B$13,F348&gt;Settings!$B$13),Settings!$B$14,0)</x:f>
        <x:v>0</x:v>
      </x:c>
      <x:c r="I348" s="32" t="str">
        <x:f>IF(A348="","",G348+H348)</x:f>
      </x:c>
      <x:c r="J348" s="22" t="str">
        <x:f>IF(A348="","",((F348-E348)*24)-(I348/60))</x:f>
      </x:c>
      <x:c r="K348" s="22" t="str">
        <x:f>IF(A348="","",MIN(J348,8))</x:f>
      </x:c>
      <x:c r="L348" s="22" t="str">
        <x:f>IF(A348="","",MAX(J348-8,0))</x:f>
      </x:c>
      <x:c r="M348" s="20" t="str">
        <x:f>IF(A348="","",K348*Settings!$B$5)</x:f>
      </x:c>
      <x:c r="N348" s="20" t="str">
        <x:f>IF(A348="","",L348*Settings!$B$6)</x:f>
      </x:c>
      <x:c r="O348" s="22"/>
      <x:c r="P348" s="22"/>
      <x:c r="Q348" s="22" t="str">
        <x:f>IF(A348="","",MAX(O348-Settings!$B$7,0))</x:f>
      </x:c>
      <x:c r="R348" s="20" t="str">
        <x:f>IF(A348="","",Q348*Settings!$B$8)</x:f>
      </x:c>
      <x:c r="S348" s="20" t="str">
        <x:f>IF(A348="","",M348+N348)</x:f>
      </x:c>
      <x:c r="T348" s="20" t="str">
        <x:f>IF(A348="","",S348+R348)</x:f>
      </x:c>
    </x:row>
    <x:row r="349">
      <x:c r="A349" s="26"/>
      <x:c r="B349" s="26" t="str">
        <x:f>IF(A349="","",A349-MOD(WEEKDAY(A349,2)-5,7))</x:f>
      </x:c>
      <x:c r="C349" s="26" t="str">
        <x:f>IF(B349="","",B349+7)</x:f>
      </x:c>
      <x:c r="D349" t="str">
        <x:f>IF(A349="","",TEXT(A349,"dddd"))</x:f>
      </x:c>
      <x:c r="E349" s="24"/>
      <x:c r="F349" s="24"/>
      <x:c r="G349" s="32" t="n">
        <x:f>IF(AND(E349&lt;Settings!$B$11,F349&gt;Settings!$B$11),Settings!$B$12,0)</x:f>
        <x:v>0</x:v>
      </x:c>
      <x:c r="H349" s="32" t="n">
        <x:f>IF(AND(E349&lt;Settings!$B$13,F349&gt;Settings!$B$13),Settings!$B$14,0)</x:f>
        <x:v>0</x:v>
      </x:c>
      <x:c r="I349" s="32" t="str">
        <x:f>IF(A349="","",G349+H349)</x:f>
      </x:c>
      <x:c r="J349" s="22" t="str">
        <x:f>IF(A349="","",((F349-E349)*24)-(I349/60))</x:f>
      </x:c>
      <x:c r="K349" s="22" t="str">
        <x:f>IF(A349="","",MIN(J349,8))</x:f>
      </x:c>
      <x:c r="L349" s="22" t="str">
        <x:f>IF(A349="","",MAX(J349-8,0))</x:f>
      </x:c>
      <x:c r="M349" s="20" t="str">
        <x:f>IF(A349="","",K349*Settings!$B$5)</x:f>
      </x:c>
      <x:c r="N349" s="20" t="str">
        <x:f>IF(A349="","",L349*Settings!$B$6)</x:f>
      </x:c>
      <x:c r="O349" s="22"/>
      <x:c r="P349" s="22"/>
      <x:c r="Q349" s="22" t="str">
        <x:f>IF(A349="","",MAX(O349-Settings!$B$7,0))</x:f>
      </x:c>
      <x:c r="R349" s="20" t="str">
        <x:f>IF(A349="","",Q349*Settings!$B$8)</x:f>
      </x:c>
      <x:c r="S349" s="20" t="str">
        <x:f>IF(A349="","",M349+N349)</x:f>
      </x:c>
      <x:c r="T349" s="20" t="str">
        <x:f>IF(A349="","",S349+R349)</x:f>
      </x:c>
    </x:row>
    <x:row r="350">
      <x:c r="A350" s="26"/>
      <x:c r="B350" s="26" t="str">
        <x:f>IF(A350="","",A350-MOD(WEEKDAY(A350,2)-5,7))</x:f>
      </x:c>
      <x:c r="C350" s="26" t="str">
        <x:f>IF(B350="","",B350+7)</x:f>
      </x:c>
      <x:c r="D350" t="str">
        <x:f>IF(A350="","",TEXT(A350,"dddd"))</x:f>
      </x:c>
      <x:c r="E350" s="24"/>
      <x:c r="F350" s="24"/>
      <x:c r="G350" s="32" t="n">
        <x:f>IF(AND(E350&lt;Settings!$B$11,F350&gt;Settings!$B$11),Settings!$B$12,0)</x:f>
        <x:v>0</x:v>
      </x:c>
      <x:c r="H350" s="32" t="n">
        <x:f>IF(AND(E350&lt;Settings!$B$13,F350&gt;Settings!$B$13),Settings!$B$14,0)</x:f>
        <x:v>0</x:v>
      </x:c>
      <x:c r="I350" s="32" t="str">
        <x:f>IF(A350="","",G350+H350)</x:f>
      </x:c>
      <x:c r="J350" s="22" t="str">
        <x:f>IF(A350="","",((F350-E350)*24)-(I350/60))</x:f>
      </x:c>
      <x:c r="K350" s="22" t="str">
        <x:f>IF(A350="","",MIN(J350,8))</x:f>
      </x:c>
      <x:c r="L350" s="22" t="str">
        <x:f>IF(A350="","",MAX(J350-8,0))</x:f>
      </x:c>
      <x:c r="M350" s="20" t="str">
        <x:f>IF(A350="","",K350*Settings!$B$5)</x:f>
      </x:c>
      <x:c r="N350" s="20" t="str">
        <x:f>IF(A350="","",L350*Settings!$B$6)</x:f>
      </x:c>
      <x:c r="O350" s="22"/>
      <x:c r="P350" s="22"/>
      <x:c r="Q350" s="22" t="str">
        <x:f>IF(A350="","",MAX(O350-Settings!$B$7,0))</x:f>
      </x:c>
      <x:c r="R350" s="20" t="str">
        <x:f>IF(A350="","",Q350*Settings!$B$8)</x:f>
      </x:c>
      <x:c r="S350" s="20" t="str">
        <x:f>IF(A350="","",M350+N350)</x:f>
      </x:c>
      <x:c r="T350" s="20" t="str">
        <x:f>IF(A350="","",S350+R350)</x:f>
      </x:c>
    </x:row>
    <x:row r="351">
      <x:c r="A351" s="26"/>
      <x:c r="B351" s="26" t="str">
        <x:f>IF(A351="","",A351-MOD(WEEKDAY(A351,2)-5,7))</x:f>
      </x:c>
      <x:c r="C351" s="26" t="str">
        <x:f>IF(B351="","",B351+7)</x:f>
      </x:c>
      <x:c r="D351" t="str">
        <x:f>IF(A351="","",TEXT(A351,"dddd"))</x:f>
      </x:c>
      <x:c r="E351" s="24"/>
      <x:c r="F351" s="24"/>
      <x:c r="G351" s="32" t="n">
        <x:f>IF(AND(E351&lt;Settings!$B$11,F351&gt;Settings!$B$11),Settings!$B$12,0)</x:f>
        <x:v>0</x:v>
      </x:c>
      <x:c r="H351" s="32" t="n">
        <x:f>IF(AND(E351&lt;Settings!$B$13,F351&gt;Settings!$B$13),Settings!$B$14,0)</x:f>
        <x:v>0</x:v>
      </x:c>
      <x:c r="I351" s="32" t="str">
        <x:f>IF(A351="","",G351+H351)</x:f>
      </x:c>
      <x:c r="J351" s="22" t="str">
        <x:f>IF(A351="","",((F351-E351)*24)-(I351/60))</x:f>
      </x:c>
      <x:c r="K351" s="22" t="str">
        <x:f>IF(A351="","",MIN(J351,8))</x:f>
      </x:c>
      <x:c r="L351" s="22" t="str">
        <x:f>IF(A351="","",MAX(J351-8,0))</x:f>
      </x:c>
      <x:c r="M351" s="20" t="str">
        <x:f>IF(A351="","",K351*Settings!$B$5)</x:f>
      </x:c>
      <x:c r="N351" s="20" t="str">
        <x:f>IF(A351="","",L351*Settings!$B$6)</x:f>
      </x:c>
      <x:c r="O351" s="22"/>
      <x:c r="P351" s="22"/>
      <x:c r="Q351" s="22" t="str">
        <x:f>IF(A351="","",MAX(O351-Settings!$B$7,0))</x:f>
      </x:c>
      <x:c r="R351" s="20" t="str">
        <x:f>IF(A351="","",Q351*Settings!$B$8)</x:f>
      </x:c>
      <x:c r="S351" s="20" t="str">
        <x:f>IF(A351="","",M351+N351)</x:f>
      </x:c>
      <x:c r="T351" s="20" t="str">
        <x:f>IF(A351="","",S351+R351)</x:f>
      </x:c>
    </x:row>
    <x:row r="352">
      <x:c r="A352" s="26"/>
      <x:c r="B352" s="26" t="str">
        <x:f>IF(A352="","",A352-MOD(WEEKDAY(A352,2)-5,7))</x:f>
      </x:c>
      <x:c r="C352" s="26" t="str">
        <x:f>IF(B352="","",B352+7)</x:f>
      </x:c>
      <x:c r="D352" t="str">
        <x:f>IF(A352="","",TEXT(A352,"dddd"))</x:f>
      </x:c>
      <x:c r="E352" s="24"/>
      <x:c r="F352" s="24"/>
      <x:c r="G352" s="32" t="n">
        <x:f>IF(AND(E352&lt;Settings!$B$11,F352&gt;Settings!$B$11),Settings!$B$12,0)</x:f>
        <x:v>0</x:v>
      </x:c>
      <x:c r="H352" s="32" t="n">
        <x:f>IF(AND(E352&lt;Settings!$B$13,F352&gt;Settings!$B$13),Settings!$B$14,0)</x:f>
        <x:v>0</x:v>
      </x:c>
      <x:c r="I352" s="32" t="str">
        <x:f>IF(A352="","",G352+H352)</x:f>
      </x:c>
      <x:c r="J352" s="22" t="str">
        <x:f>IF(A352="","",((F352-E352)*24)-(I352/60))</x:f>
      </x:c>
      <x:c r="K352" s="22" t="str">
        <x:f>IF(A352="","",MIN(J352,8))</x:f>
      </x:c>
      <x:c r="L352" s="22" t="str">
        <x:f>IF(A352="","",MAX(J352-8,0))</x:f>
      </x:c>
      <x:c r="M352" s="20" t="str">
        <x:f>IF(A352="","",K352*Settings!$B$5)</x:f>
      </x:c>
      <x:c r="N352" s="20" t="str">
        <x:f>IF(A352="","",L352*Settings!$B$6)</x:f>
      </x:c>
      <x:c r="O352" s="22"/>
      <x:c r="P352" s="22"/>
      <x:c r="Q352" s="22" t="str">
        <x:f>IF(A352="","",MAX(O352-Settings!$B$7,0))</x:f>
      </x:c>
      <x:c r="R352" s="20" t="str">
        <x:f>IF(A352="","",Q352*Settings!$B$8)</x:f>
      </x:c>
      <x:c r="S352" s="20" t="str">
        <x:f>IF(A352="","",M352+N352)</x:f>
      </x:c>
      <x:c r="T352" s="20" t="str">
        <x:f>IF(A352="","",S352+R352)</x:f>
      </x:c>
    </x:row>
    <x:row r="353">
      <x:c r="A353" s="26"/>
      <x:c r="B353" s="26" t="str">
        <x:f>IF(A353="","",A353-MOD(WEEKDAY(A353,2)-5,7))</x:f>
      </x:c>
      <x:c r="C353" s="26" t="str">
        <x:f>IF(B353="","",B353+7)</x:f>
      </x:c>
      <x:c r="D353" t="str">
        <x:f>IF(A353="","",TEXT(A353,"dddd"))</x:f>
      </x:c>
      <x:c r="E353" s="24"/>
      <x:c r="F353" s="24"/>
      <x:c r="G353" s="32" t="n">
        <x:f>IF(AND(E353&lt;Settings!$B$11,F353&gt;Settings!$B$11),Settings!$B$12,0)</x:f>
        <x:v>0</x:v>
      </x:c>
      <x:c r="H353" s="32" t="n">
        <x:f>IF(AND(E353&lt;Settings!$B$13,F353&gt;Settings!$B$13),Settings!$B$14,0)</x:f>
        <x:v>0</x:v>
      </x:c>
      <x:c r="I353" s="32" t="str">
        <x:f>IF(A353="","",G353+H353)</x:f>
      </x:c>
      <x:c r="J353" s="22" t="str">
        <x:f>IF(A353="","",((F353-E353)*24)-(I353/60))</x:f>
      </x:c>
      <x:c r="K353" s="22" t="str">
        <x:f>IF(A353="","",MIN(J353,8))</x:f>
      </x:c>
      <x:c r="L353" s="22" t="str">
        <x:f>IF(A353="","",MAX(J353-8,0))</x:f>
      </x:c>
      <x:c r="M353" s="20" t="str">
        <x:f>IF(A353="","",K353*Settings!$B$5)</x:f>
      </x:c>
      <x:c r="N353" s="20" t="str">
        <x:f>IF(A353="","",L353*Settings!$B$6)</x:f>
      </x:c>
      <x:c r="O353" s="22"/>
      <x:c r="P353" s="22"/>
      <x:c r="Q353" s="22" t="str">
        <x:f>IF(A353="","",MAX(O353-Settings!$B$7,0))</x:f>
      </x:c>
      <x:c r="R353" s="20" t="str">
        <x:f>IF(A353="","",Q353*Settings!$B$8)</x:f>
      </x:c>
      <x:c r="S353" s="20" t="str">
        <x:f>IF(A353="","",M353+N353)</x:f>
      </x:c>
      <x:c r="T353" s="20" t="str">
        <x:f>IF(A353="","",S353+R353)</x:f>
      </x:c>
    </x:row>
    <x:row r="354">
      <x:c r="A354" s="26"/>
      <x:c r="B354" s="26" t="str">
        <x:f>IF(A354="","",A354-MOD(WEEKDAY(A354,2)-5,7))</x:f>
      </x:c>
      <x:c r="C354" s="26" t="str">
        <x:f>IF(B354="","",B354+7)</x:f>
      </x:c>
      <x:c r="D354" t="str">
        <x:f>IF(A354="","",TEXT(A354,"dddd"))</x:f>
      </x:c>
      <x:c r="E354" s="24"/>
      <x:c r="F354" s="24"/>
      <x:c r="G354" s="32" t="n">
        <x:f>IF(AND(E354&lt;Settings!$B$11,F354&gt;Settings!$B$11),Settings!$B$12,0)</x:f>
        <x:v>0</x:v>
      </x:c>
      <x:c r="H354" s="32" t="n">
        <x:f>IF(AND(E354&lt;Settings!$B$13,F354&gt;Settings!$B$13),Settings!$B$14,0)</x:f>
        <x:v>0</x:v>
      </x:c>
      <x:c r="I354" s="32" t="str">
        <x:f>IF(A354="","",G354+H354)</x:f>
      </x:c>
      <x:c r="J354" s="22" t="str">
        <x:f>IF(A354="","",((F354-E354)*24)-(I354/60))</x:f>
      </x:c>
      <x:c r="K354" s="22" t="str">
        <x:f>IF(A354="","",MIN(J354,8))</x:f>
      </x:c>
      <x:c r="L354" s="22" t="str">
        <x:f>IF(A354="","",MAX(J354-8,0))</x:f>
      </x:c>
      <x:c r="M354" s="20" t="str">
        <x:f>IF(A354="","",K354*Settings!$B$5)</x:f>
      </x:c>
      <x:c r="N354" s="20" t="str">
        <x:f>IF(A354="","",L354*Settings!$B$6)</x:f>
      </x:c>
      <x:c r="O354" s="22"/>
      <x:c r="P354" s="22"/>
      <x:c r="Q354" s="22" t="str">
        <x:f>IF(A354="","",MAX(O354-Settings!$B$7,0))</x:f>
      </x:c>
      <x:c r="R354" s="20" t="str">
        <x:f>IF(A354="","",Q354*Settings!$B$8)</x:f>
      </x:c>
      <x:c r="S354" s="20" t="str">
        <x:f>IF(A354="","",M354+N354)</x:f>
      </x:c>
      <x:c r="T354" s="20" t="str">
        <x:f>IF(A354="","",S354+R354)</x:f>
      </x:c>
    </x:row>
    <x:row r="355">
      <x:c r="A355" s="26"/>
      <x:c r="B355" s="26" t="str">
        <x:f>IF(A355="","",A355-MOD(WEEKDAY(A355,2)-5,7))</x:f>
      </x:c>
      <x:c r="C355" s="26" t="str">
        <x:f>IF(B355="","",B355+7)</x:f>
      </x:c>
      <x:c r="D355" t="str">
        <x:f>IF(A355="","",TEXT(A355,"dddd"))</x:f>
      </x:c>
      <x:c r="E355" s="24"/>
      <x:c r="F355" s="24"/>
      <x:c r="G355" s="32" t="n">
        <x:f>IF(AND(E355&lt;Settings!$B$11,F355&gt;Settings!$B$11),Settings!$B$12,0)</x:f>
        <x:v>0</x:v>
      </x:c>
      <x:c r="H355" s="32" t="n">
        <x:f>IF(AND(E355&lt;Settings!$B$13,F355&gt;Settings!$B$13),Settings!$B$14,0)</x:f>
        <x:v>0</x:v>
      </x:c>
      <x:c r="I355" s="32" t="str">
        <x:f>IF(A355="","",G355+H355)</x:f>
      </x:c>
      <x:c r="J355" s="22" t="str">
        <x:f>IF(A355="","",((F355-E355)*24)-(I355/60))</x:f>
      </x:c>
      <x:c r="K355" s="22" t="str">
        <x:f>IF(A355="","",MIN(J355,8))</x:f>
      </x:c>
      <x:c r="L355" s="22" t="str">
        <x:f>IF(A355="","",MAX(J355-8,0))</x:f>
      </x:c>
      <x:c r="M355" s="20" t="str">
        <x:f>IF(A355="","",K355*Settings!$B$5)</x:f>
      </x:c>
      <x:c r="N355" s="20" t="str">
        <x:f>IF(A355="","",L355*Settings!$B$6)</x:f>
      </x:c>
      <x:c r="O355" s="22"/>
      <x:c r="P355" s="22"/>
      <x:c r="Q355" s="22" t="str">
        <x:f>IF(A355="","",MAX(O355-Settings!$B$7,0))</x:f>
      </x:c>
      <x:c r="R355" s="20" t="str">
        <x:f>IF(A355="","",Q355*Settings!$B$8)</x:f>
      </x:c>
      <x:c r="S355" s="20" t="str">
        <x:f>IF(A355="","",M355+N355)</x:f>
      </x:c>
      <x:c r="T355" s="20" t="str">
        <x:f>IF(A355="","",S355+R355)</x:f>
      </x:c>
    </x:row>
    <x:row r="356">
      <x:c r="A356" s="26"/>
      <x:c r="B356" s="26" t="str">
        <x:f>IF(A356="","",A356-MOD(WEEKDAY(A356,2)-5,7))</x:f>
      </x:c>
      <x:c r="C356" s="26" t="str">
        <x:f>IF(B356="","",B356+7)</x:f>
      </x:c>
      <x:c r="D356" t="str">
        <x:f>IF(A356="","",TEXT(A356,"dddd"))</x:f>
      </x:c>
      <x:c r="E356" s="24"/>
      <x:c r="F356" s="24"/>
      <x:c r="G356" s="32" t="n">
        <x:f>IF(AND(E356&lt;Settings!$B$11,F356&gt;Settings!$B$11),Settings!$B$12,0)</x:f>
        <x:v>0</x:v>
      </x:c>
      <x:c r="H356" s="32" t="n">
        <x:f>IF(AND(E356&lt;Settings!$B$13,F356&gt;Settings!$B$13),Settings!$B$14,0)</x:f>
        <x:v>0</x:v>
      </x:c>
      <x:c r="I356" s="32" t="str">
        <x:f>IF(A356="","",G356+H356)</x:f>
      </x:c>
      <x:c r="J356" s="22" t="str">
        <x:f>IF(A356="","",((F356-E356)*24)-(I356/60))</x:f>
      </x:c>
      <x:c r="K356" s="22" t="str">
        <x:f>IF(A356="","",MIN(J356,8))</x:f>
      </x:c>
      <x:c r="L356" s="22" t="str">
        <x:f>IF(A356="","",MAX(J356-8,0))</x:f>
      </x:c>
      <x:c r="M356" s="20" t="str">
        <x:f>IF(A356="","",K356*Settings!$B$5)</x:f>
      </x:c>
      <x:c r="N356" s="20" t="str">
        <x:f>IF(A356="","",L356*Settings!$B$6)</x:f>
      </x:c>
      <x:c r="O356" s="22"/>
      <x:c r="P356" s="22"/>
      <x:c r="Q356" s="22" t="str">
        <x:f>IF(A356="","",MAX(O356-Settings!$B$7,0))</x:f>
      </x:c>
      <x:c r="R356" s="20" t="str">
        <x:f>IF(A356="","",Q356*Settings!$B$8)</x:f>
      </x:c>
      <x:c r="S356" s="20" t="str">
        <x:f>IF(A356="","",M356+N356)</x:f>
      </x:c>
      <x:c r="T356" s="20" t="str">
        <x:f>IF(A356="","",S356+R356)</x:f>
      </x:c>
    </x:row>
    <x:row r="357">
      <x:c r="A357" s="26"/>
      <x:c r="B357" s="26" t="str">
        <x:f>IF(A357="","",A357-MOD(WEEKDAY(A357,2)-5,7))</x:f>
      </x:c>
      <x:c r="C357" s="26" t="str">
        <x:f>IF(B357="","",B357+7)</x:f>
      </x:c>
      <x:c r="D357" t="str">
        <x:f>IF(A357="","",TEXT(A357,"dddd"))</x:f>
      </x:c>
      <x:c r="E357" s="24"/>
      <x:c r="F357" s="24"/>
      <x:c r="G357" s="32" t="n">
        <x:f>IF(AND(E357&lt;Settings!$B$11,F357&gt;Settings!$B$11),Settings!$B$12,0)</x:f>
        <x:v>0</x:v>
      </x:c>
      <x:c r="H357" s="32" t="n">
        <x:f>IF(AND(E357&lt;Settings!$B$13,F357&gt;Settings!$B$13),Settings!$B$14,0)</x:f>
        <x:v>0</x:v>
      </x:c>
      <x:c r="I357" s="32" t="str">
        <x:f>IF(A357="","",G357+H357)</x:f>
      </x:c>
      <x:c r="J357" s="22" t="str">
        <x:f>IF(A357="","",((F357-E357)*24)-(I357/60))</x:f>
      </x:c>
      <x:c r="K357" s="22" t="str">
        <x:f>IF(A357="","",MIN(J357,8))</x:f>
      </x:c>
      <x:c r="L357" s="22" t="str">
        <x:f>IF(A357="","",MAX(J357-8,0))</x:f>
      </x:c>
      <x:c r="M357" s="20" t="str">
        <x:f>IF(A357="","",K357*Settings!$B$5)</x:f>
      </x:c>
      <x:c r="N357" s="20" t="str">
        <x:f>IF(A357="","",L357*Settings!$B$6)</x:f>
      </x:c>
      <x:c r="O357" s="22"/>
      <x:c r="P357" s="22"/>
      <x:c r="Q357" s="22" t="str">
        <x:f>IF(A357="","",MAX(O357-Settings!$B$7,0))</x:f>
      </x:c>
      <x:c r="R357" s="20" t="str">
        <x:f>IF(A357="","",Q357*Settings!$B$8)</x:f>
      </x:c>
      <x:c r="S357" s="20" t="str">
        <x:f>IF(A357="","",M357+N357)</x:f>
      </x:c>
      <x:c r="T357" s="20" t="str">
        <x:f>IF(A357="","",S357+R357)</x:f>
      </x:c>
    </x:row>
    <x:row r="358">
      <x:c r="A358" s="26"/>
      <x:c r="B358" s="26" t="str">
        <x:f>IF(A358="","",A358-MOD(WEEKDAY(A358,2)-5,7))</x:f>
      </x:c>
      <x:c r="C358" s="26" t="str">
        <x:f>IF(B358="","",B358+7)</x:f>
      </x:c>
      <x:c r="D358" t="str">
        <x:f>IF(A358="","",TEXT(A358,"dddd"))</x:f>
      </x:c>
      <x:c r="E358" s="24"/>
      <x:c r="F358" s="24"/>
      <x:c r="G358" s="32" t="n">
        <x:f>IF(AND(E358&lt;Settings!$B$11,F358&gt;Settings!$B$11),Settings!$B$12,0)</x:f>
        <x:v>0</x:v>
      </x:c>
      <x:c r="H358" s="32" t="n">
        <x:f>IF(AND(E358&lt;Settings!$B$13,F358&gt;Settings!$B$13),Settings!$B$14,0)</x:f>
        <x:v>0</x:v>
      </x:c>
      <x:c r="I358" s="32" t="str">
        <x:f>IF(A358="","",G358+H358)</x:f>
      </x:c>
      <x:c r="J358" s="22" t="str">
        <x:f>IF(A358="","",((F358-E358)*24)-(I358/60))</x:f>
      </x:c>
      <x:c r="K358" s="22" t="str">
        <x:f>IF(A358="","",MIN(J358,8))</x:f>
      </x:c>
      <x:c r="L358" s="22" t="str">
        <x:f>IF(A358="","",MAX(J358-8,0))</x:f>
      </x:c>
      <x:c r="M358" s="20" t="str">
        <x:f>IF(A358="","",K358*Settings!$B$5)</x:f>
      </x:c>
      <x:c r="N358" s="20" t="str">
        <x:f>IF(A358="","",L358*Settings!$B$6)</x:f>
      </x:c>
      <x:c r="O358" s="22"/>
      <x:c r="P358" s="22"/>
      <x:c r="Q358" s="22" t="str">
        <x:f>IF(A358="","",MAX(O358-Settings!$B$7,0))</x:f>
      </x:c>
      <x:c r="R358" s="20" t="str">
        <x:f>IF(A358="","",Q358*Settings!$B$8)</x:f>
      </x:c>
      <x:c r="S358" s="20" t="str">
        <x:f>IF(A358="","",M358+N358)</x:f>
      </x:c>
      <x:c r="T358" s="20" t="str">
        <x:f>IF(A358="","",S358+R358)</x:f>
      </x:c>
    </x:row>
    <x:row r="359">
      <x:c r="A359" s="26"/>
      <x:c r="B359" s="26" t="str">
        <x:f>IF(A359="","",A359-MOD(WEEKDAY(A359,2)-5,7))</x:f>
      </x:c>
      <x:c r="C359" s="26" t="str">
        <x:f>IF(B359="","",B359+7)</x:f>
      </x:c>
      <x:c r="D359" t="str">
        <x:f>IF(A359="","",TEXT(A359,"dddd"))</x:f>
      </x:c>
      <x:c r="E359" s="24"/>
      <x:c r="F359" s="24"/>
      <x:c r="G359" s="32" t="n">
        <x:f>IF(AND(E359&lt;Settings!$B$11,F359&gt;Settings!$B$11),Settings!$B$12,0)</x:f>
        <x:v>0</x:v>
      </x:c>
      <x:c r="H359" s="32" t="n">
        <x:f>IF(AND(E359&lt;Settings!$B$13,F359&gt;Settings!$B$13),Settings!$B$14,0)</x:f>
        <x:v>0</x:v>
      </x:c>
      <x:c r="I359" s="32" t="str">
        <x:f>IF(A359="","",G359+H359)</x:f>
      </x:c>
      <x:c r="J359" s="22" t="str">
        <x:f>IF(A359="","",((F359-E359)*24)-(I359/60))</x:f>
      </x:c>
      <x:c r="K359" s="22" t="str">
        <x:f>IF(A359="","",MIN(J359,8))</x:f>
      </x:c>
      <x:c r="L359" s="22" t="str">
        <x:f>IF(A359="","",MAX(J359-8,0))</x:f>
      </x:c>
      <x:c r="M359" s="20" t="str">
        <x:f>IF(A359="","",K359*Settings!$B$5)</x:f>
      </x:c>
      <x:c r="N359" s="20" t="str">
        <x:f>IF(A359="","",L359*Settings!$B$6)</x:f>
      </x:c>
      <x:c r="O359" s="22"/>
      <x:c r="P359" s="22"/>
      <x:c r="Q359" s="22" t="str">
        <x:f>IF(A359="","",MAX(O359-Settings!$B$7,0))</x:f>
      </x:c>
      <x:c r="R359" s="20" t="str">
        <x:f>IF(A359="","",Q359*Settings!$B$8)</x:f>
      </x:c>
      <x:c r="S359" s="20" t="str">
        <x:f>IF(A359="","",M359+N359)</x:f>
      </x:c>
      <x:c r="T359" s="20" t="str">
        <x:f>IF(A359="","",S359+R359)</x:f>
      </x:c>
    </x:row>
    <x:row r="360">
      <x:c r="A360" s="26"/>
      <x:c r="B360" s="26" t="str">
        <x:f>IF(A360="","",A360-MOD(WEEKDAY(A360,2)-5,7))</x:f>
      </x:c>
      <x:c r="C360" s="26" t="str">
        <x:f>IF(B360="","",B360+7)</x:f>
      </x:c>
      <x:c r="D360" t="str">
        <x:f>IF(A360="","",TEXT(A360,"dddd"))</x:f>
      </x:c>
      <x:c r="E360" s="24"/>
      <x:c r="F360" s="24"/>
      <x:c r="G360" s="32" t="n">
        <x:f>IF(AND(E360&lt;Settings!$B$11,F360&gt;Settings!$B$11),Settings!$B$12,0)</x:f>
        <x:v>0</x:v>
      </x:c>
      <x:c r="H360" s="32" t="n">
        <x:f>IF(AND(E360&lt;Settings!$B$13,F360&gt;Settings!$B$13),Settings!$B$14,0)</x:f>
        <x:v>0</x:v>
      </x:c>
      <x:c r="I360" s="32" t="str">
        <x:f>IF(A360="","",G360+H360)</x:f>
      </x:c>
      <x:c r="J360" s="22" t="str">
        <x:f>IF(A360="","",((F360-E360)*24)-(I360/60))</x:f>
      </x:c>
      <x:c r="K360" s="22" t="str">
        <x:f>IF(A360="","",MIN(J360,8))</x:f>
      </x:c>
      <x:c r="L360" s="22" t="str">
        <x:f>IF(A360="","",MAX(J360-8,0))</x:f>
      </x:c>
      <x:c r="M360" s="20" t="str">
        <x:f>IF(A360="","",K360*Settings!$B$5)</x:f>
      </x:c>
      <x:c r="N360" s="20" t="str">
        <x:f>IF(A360="","",L360*Settings!$B$6)</x:f>
      </x:c>
      <x:c r="O360" s="22"/>
      <x:c r="P360" s="22"/>
      <x:c r="Q360" s="22" t="str">
        <x:f>IF(A360="","",MAX(O360-Settings!$B$7,0))</x:f>
      </x:c>
      <x:c r="R360" s="20" t="str">
        <x:f>IF(A360="","",Q360*Settings!$B$8)</x:f>
      </x:c>
      <x:c r="S360" s="20" t="str">
        <x:f>IF(A360="","",M360+N360)</x:f>
      </x:c>
      <x:c r="T360" s="20" t="str">
        <x:f>IF(A360="","",S360+R360)</x:f>
      </x:c>
    </x:row>
    <x:row r="361">
      <x:c r="A361" s="26"/>
      <x:c r="B361" s="26" t="str">
        <x:f>IF(A361="","",A361-MOD(WEEKDAY(A361,2)-5,7))</x:f>
      </x:c>
      <x:c r="C361" s="26" t="str">
        <x:f>IF(B361="","",B361+7)</x:f>
      </x:c>
      <x:c r="D361" t="str">
        <x:f>IF(A361="","",TEXT(A361,"dddd"))</x:f>
      </x:c>
      <x:c r="E361" s="24"/>
      <x:c r="F361" s="24"/>
      <x:c r="G361" s="32" t="n">
        <x:f>IF(AND(E361&lt;Settings!$B$11,F361&gt;Settings!$B$11),Settings!$B$12,0)</x:f>
        <x:v>0</x:v>
      </x:c>
      <x:c r="H361" s="32" t="n">
        <x:f>IF(AND(E361&lt;Settings!$B$13,F361&gt;Settings!$B$13),Settings!$B$14,0)</x:f>
        <x:v>0</x:v>
      </x:c>
      <x:c r="I361" s="32" t="str">
        <x:f>IF(A361="","",G361+H361)</x:f>
      </x:c>
      <x:c r="J361" s="22" t="str">
        <x:f>IF(A361="","",((F361-E361)*24)-(I361/60))</x:f>
      </x:c>
      <x:c r="K361" s="22" t="str">
        <x:f>IF(A361="","",MIN(J361,8))</x:f>
      </x:c>
      <x:c r="L361" s="22" t="str">
        <x:f>IF(A361="","",MAX(J361-8,0))</x:f>
      </x:c>
      <x:c r="M361" s="20" t="str">
        <x:f>IF(A361="","",K361*Settings!$B$5)</x:f>
      </x:c>
      <x:c r="N361" s="20" t="str">
        <x:f>IF(A361="","",L361*Settings!$B$6)</x:f>
      </x:c>
      <x:c r="O361" s="22"/>
      <x:c r="P361" s="22"/>
      <x:c r="Q361" s="22" t="str">
        <x:f>IF(A361="","",MAX(O361-Settings!$B$7,0))</x:f>
      </x:c>
      <x:c r="R361" s="20" t="str">
        <x:f>IF(A361="","",Q361*Settings!$B$8)</x:f>
      </x:c>
      <x:c r="S361" s="20" t="str">
        <x:f>IF(A361="","",M361+N361)</x:f>
      </x:c>
      <x:c r="T361" s="20" t="str">
        <x:f>IF(A361="","",S361+R361)</x:f>
      </x:c>
    </x:row>
    <x:row r="362">
      <x:c r="A362" s="26"/>
      <x:c r="B362" s="26" t="str">
        <x:f>IF(A362="","",A362-MOD(WEEKDAY(A362,2)-5,7))</x:f>
      </x:c>
      <x:c r="C362" s="26" t="str">
        <x:f>IF(B362="","",B362+7)</x:f>
      </x:c>
      <x:c r="D362" t="str">
        <x:f>IF(A362="","",TEXT(A362,"dddd"))</x:f>
      </x:c>
      <x:c r="E362" s="24"/>
      <x:c r="F362" s="24"/>
      <x:c r="G362" s="32" t="n">
        <x:f>IF(AND(E362&lt;Settings!$B$11,F362&gt;Settings!$B$11),Settings!$B$12,0)</x:f>
        <x:v>0</x:v>
      </x:c>
      <x:c r="H362" s="32" t="n">
        <x:f>IF(AND(E362&lt;Settings!$B$13,F362&gt;Settings!$B$13),Settings!$B$14,0)</x:f>
        <x:v>0</x:v>
      </x:c>
      <x:c r="I362" s="32" t="str">
        <x:f>IF(A362="","",G362+H362)</x:f>
      </x:c>
      <x:c r="J362" s="22" t="str">
        <x:f>IF(A362="","",((F362-E362)*24)-(I362/60))</x:f>
      </x:c>
      <x:c r="K362" s="22" t="str">
        <x:f>IF(A362="","",MIN(J362,8))</x:f>
      </x:c>
      <x:c r="L362" s="22" t="str">
        <x:f>IF(A362="","",MAX(J362-8,0))</x:f>
      </x:c>
      <x:c r="M362" s="20" t="str">
        <x:f>IF(A362="","",K362*Settings!$B$5)</x:f>
      </x:c>
      <x:c r="N362" s="20" t="str">
        <x:f>IF(A362="","",L362*Settings!$B$6)</x:f>
      </x:c>
      <x:c r="O362" s="22"/>
      <x:c r="P362" s="22"/>
      <x:c r="Q362" s="22" t="str">
        <x:f>IF(A362="","",MAX(O362-Settings!$B$7,0))</x:f>
      </x:c>
      <x:c r="R362" s="20" t="str">
        <x:f>IF(A362="","",Q362*Settings!$B$8)</x:f>
      </x:c>
      <x:c r="S362" s="20" t="str">
        <x:f>IF(A362="","",M362+N362)</x:f>
      </x:c>
      <x:c r="T362" s="20" t="str">
        <x:f>IF(A362="","",S362+R362)</x:f>
      </x:c>
    </x:row>
    <x:row r="363">
      <x:c r="A363" s="26"/>
      <x:c r="B363" s="26" t="str">
        <x:f>IF(A363="","",A363-MOD(WEEKDAY(A363,2)-5,7))</x:f>
      </x:c>
      <x:c r="C363" s="26" t="str">
        <x:f>IF(B363="","",B363+7)</x:f>
      </x:c>
      <x:c r="D363" t="str">
        <x:f>IF(A363="","",TEXT(A363,"dddd"))</x:f>
      </x:c>
      <x:c r="E363" s="24"/>
      <x:c r="F363" s="24"/>
      <x:c r="G363" s="32" t="n">
        <x:f>IF(AND(E363&lt;Settings!$B$11,F363&gt;Settings!$B$11),Settings!$B$12,0)</x:f>
        <x:v>0</x:v>
      </x:c>
      <x:c r="H363" s="32" t="n">
        <x:f>IF(AND(E363&lt;Settings!$B$13,F363&gt;Settings!$B$13),Settings!$B$14,0)</x:f>
        <x:v>0</x:v>
      </x:c>
      <x:c r="I363" s="32" t="str">
        <x:f>IF(A363="","",G363+H363)</x:f>
      </x:c>
      <x:c r="J363" s="22" t="str">
        <x:f>IF(A363="","",((F363-E363)*24)-(I363/60))</x:f>
      </x:c>
      <x:c r="K363" s="22" t="str">
        <x:f>IF(A363="","",MIN(J363,8))</x:f>
      </x:c>
      <x:c r="L363" s="22" t="str">
        <x:f>IF(A363="","",MAX(J363-8,0))</x:f>
      </x:c>
      <x:c r="M363" s="20" t="str">
        <x:f>IF(A363="","",K363*Settings!$B$5)</x:f>
      </x:c>
      <x:c r="N363" s="20" t="str">
        <x:f>IF(A363="","",L363*Settings!$B$6)</x:f>
      </x:c>
      <x:c r="O363" s="22"/>
      <x:c r="P363" s="22"/>
      <x:c r="Q363" s="22" t="str">
        <x:f>IF(A363="","",MAX(O363-Settings!$B$7,0))</x:f>
      </x:c>
      <x:c r="R363" s="20" t="str">
        <x:f>IF(A363="","",Q363*Settings!$B$8)</x:f>
      </x:c>
      <x:c r="S363" s="20" t="str">
        <x:f>IF(A363="","",M363+N363)</x:f>
      </x:c>
      <x:c r="T363" s="20" t="str">
        <x:f>IF(A363="","",S363+R363)</x:f>
      </x:c>
    </x:row>
    <x:row r="364">
      <x:c r="A364" s="26"/>
      <x:c r="B364" s="26" t="str">
        <x:f>IF(A364="","",A364-MOD(WEEKDAY(A364,2)-5,7))</x:f>
      </x:c>
      <x:c r="C364" s="26" t="str">
        <x:f>IF(B364="","",B364+7)</x:f>
      </x:c>
      <x:c r="D364" t="str">
        <x:f>IF(A364="","",TEXT(A364,"dddd"))</x:f>
      </x:c>
      <x:c r="E364" s="24"/>
      <x:c r="F364" s="24"/>
      <x:c r="G364" s="32" t="n">
        <x:f>IF(AND(E364&lt;Settings!$B$11,F364&gt;Settings!$B$11),Settings!$B$12,0)</x:f>
        <x:v>0</x:v>
      </x:c>
      <x:c r="H364" s="32" t="n">
        <x:f>IF(AND(E364&lt;Settings!$B$13,F364&gt;Settings!$B$13),Settings!$B$14,0)</x:f>
        <x:v>0</x:v>
      </x:c>
      <x:c r="I364" s="32" t="str">
        <x:f>IF(A364="","",G364+H364)</x:f>
      </x:c>
      <x:c r="J364" s="22" t="str">
        <x:f>IF(A364="","",((F364-E364)*24)-(I364/60))</x:f>
      </x:c>
      <x:c r="K364" s="22" t="str">
        <x:f>IF(A364="","",MIN(J364,8))</x:f>
      </x:c>
      <x:c r="L364" s="22" t="str">
        <x:f>IF(A364="","",MAX(J364-8,0))</x:f>
      </x:c>
      <x:c r="M364" s="20" t="str">
        <x:f>IF(A364="","",K364*Settings!$B$5)</x:f>
      </x:c>
      <x:c r="N364" s="20" t="str">
        <x:f>IF(A364="","",L364*Settings!$B$6)</x:f>
      </x:c>
      <x:c r="O364" s="22"/>
      <x:c r="P364" s="22"/>
      <x:c r="Q364" s="22" t="str">
        <x:f>IF(A364="","",MAX(O364-Settings!$B$7,0))</x:f>
      </x:c>
      <x:c r="R364" s="20" t="str">
        <x:f>IF(A364="","",Q364*Settings!$B$8)</x:f>
      </x:c>
      <x:c r="S364" s="20" t="str">
        <x:f>IF(A364="","",M364+N364)</x:f>
      </x:c>
      <x:c r="T364" s="20" t="str">
        <x:f>IF(A364="","",S364+R364)</x:f>
      </x:c>
    </x:row>
    <x:row r="365">
      <x:c r="A365" s="26"/>
      <x:c r="B365" s="26" t="str">
        <x:f>IF(A365="","",A365-MOD(WEEKDAY(A365,2)-5,7))</x:f>
      </x:c>
      <x:c r="C365" s="26" t="str">
        <x:f>IF(B365="","",B365+7)</x:f>
      </x:c>
      <x:c r="D365" t="str">
        <x:f>IF(A365="","",TEXT(A365,"dddd"))</x:f>
      </x:c>
      <x:c r="E365" s="24"/>
      <x:c r="F365" s="24"/>
      <x:c r="G365" s="32" t="n">
        <x:f>IF(AND(E365&lt;Settings!$B$11,F365&gt;Settings!$B$11),Settings!$B$12,0)</x:f>
        <x:v>0</x:v>
      </x:c>
      <x:c r="H365" s="32" t="n">
        <x:f>IF(AND(E365&lt;Settings!$B$13,F365&gt;Settings!$B$13),Settings!$B$14,0)</x:f>
        <x:v>0</x:v>
      </x:c>
      <x:c r="I365" s="32" t="str">
        <x:f>IF(A365="","",G365+H365)</x:f>
      </x:c>
      <x:c r="J365" s="22" t="str">
        <x:f>IF(A365="","",((F365-E365)*24)-(I365/60))</x:f>
      </x:c>
      <x:c r="K365" s="22" t="str">
        <x:f>IF(A365="","",MIN(J365,8))</x:f>
      </x:c>
      <x:c r="L365" s="22" t="str">
        <x:f>IF(A365="","",MAX(J365-8,0))</x:f>
      </x:c>
      <x:c r="M365" s="20" t="str">
        <x:f>IF(A365="","",K365*Settings!$B$5)</x:f>
      </x:c>
      <x:c r="N365" s="20" t="str">
        <x:f>IF(A365="","",L365*Settings!$B$6)</x:f>
      </x:c>
      <x:c r="O365" s="22"/>
      <x:c r="P365" s="22"/>
      <x:c r="Q365" s="22" t="str">
        <x:f>IF(A365="","",MAX(O365-Settings!$B$7,0))</x:f>
      </x:c>
      <x:c r="R365" s="20" t="str">
        <x:f>IF(A365="","",Q365*Settings!$B$8)</x:f>
      </x:c>
      <x:c r="S365" s="20" t="str">
        <x:f>IF(A365="","",M365+N365)</x:f>
      </x:c>
      <x:c r="T365" s="20" t="str">
        <x:f>IF(A365="","",S365+R365)</x:f>
      </x:c>
    </x:row>
    <x:row r="366">
      <x:c r="A366" s="26"/>
      <x:c r="B366" s="26" t="str">
        <x:f>IF(A366="","",A366-MOD(WEEKDAY(A366,2)-5,7))</x:f>
      </x:c>
      <x:c r="C366" s="26" t="str">
        <x:f>IF(B366="","",B366+7)</x:f>
      </x:c>
      <x:c r="D366" t="str">
        <x:f>IF(A366="","",TEXT(A366,"dddd"))</x:f>
      </x:c>
      <x:c r="E366" s="24"/>
      <x:c r="F366" s="24"/>
      <x:c r="G366" s="32" t="n">
        <x:f>IF(AND(E366&lt;Settings!$B$11,F366&gt;Settings!$B$11),Settings!$B$12,0)</x:f>
        <x:v>0</x:v>
      </x:c>
      <x:c r="H366" s="32" t="n">
        <x:f>IF(AND(E366&lt;Settings!$B$13,F366&gt;Settings!$B$13),Settings!$B$14,0)</x:f>
        <x:v>0</x:v>
      </x:c>
      <x:c r="I366" s="32" t="str">
        <x:f>IF(A366="","",G366+H366)</x:f>
      </x:c>
      <x:c r="J366" s="22" t="str">
        <x:f>IF(A366="","",((F366-E366)*24)-(I366/60))</x:f>
      </x:c>
      <x:c r="K366" s="22" t="str">
        <x:f>IF(A366="","",MIN(J366,8))</x:f>
      </x:c>
      <x:c r="L366" s="22" t="str">
        <x:f>IF(A366="","",MAX(J366-8,0))</x:f>
      </x:c>
      <x:c r="M366" s="20" t="str">
        <x:f>IF(A366="","",K366*Settings!$B$5)</x:f>
      </x:c>
      <x:c r="N366" s="20" t="str">
        <x:f>IF(A366="","",L366*Settings!$B$6)</x:f>
      </x:c>
      <x:c r="O366" s="22"/>
      <x:c r="P366" s="22"/>
      <x:c r="Q366" s="22" t="str">
        <x:f>IF(A366="","",MAX(O366-Settings!$B$7,0))</x:f>
      </x:c>
      <x:c r="R366" s="20" t="str">
        <x:f>IF(A366="","",Q366*Settings!$B$8)</x:f>
      </x:c>
      <x:c r="S366" s="20" t="str">
        <x:f>IF(A366="","",M366+N366)</x:f>
      </x:c>
      <x:c r="T366" s="20" t="str">
        <x:f>IF(A366="","",S366+R366)</x:f>
      </x:c>
    </x:row>
    <x:row r="367">
      <x:c r="A367" s="26"/>
      <x:c r="B367" s="26" t="str">
        <x:f>IF(A367="","",A367-MOD(WEEKDAY(A367,2)-5,7))</x:f>
      </x:c>
      <x:c r="C367" s="26" t="str">
        <x:f>IF(B367="","",B367+7)</x:f>
      </x:c>
      <x:c r="D367" t="str">
        <x:f>IF(A367="","",TEXT(A367,"dddd"))</x:f>
      </x:c>
      <x:c r="E367" s="24"/>
      <x:c r="F367" s="24"/>
      <x:c r="G367" s="32" t="n">
        <x:f>IF(AND(E367&lt;Settings!$B$11,F367&gt;Settings!$B$11),Settings!$B$12,0)</x:f>
        <x:v>0</x:v>
      </x:c>
      <x:c r="H367" s="32" t="n">
        <x:f>IF(AND(E367&lt;Settings!$B$13,F367&gt;Settings!$B$13),Settings!$B$14,0)</x:f>
        <x:v>0</x:v>
      </x:c>
      <x:c r="I367" s="32" t="str">
        <x:f>IF(A367="","",G367+H367)</x:f>
      </x:c>
      <x:c r="J367" s="22" t="str">
        <x:f>IF(A367="","",((F367-E367)*24)-(I367/60))</x:f>
      </x:c>
      <x:c r="K367" s="22" t="str">
        <x:f>IF(A367="","",MIN(J367,8))</x:f>
      </x:c>
      <x:c r="L367" s="22" t="str">
        <x:f>IF(A367="","",MAX(J367-8,0))</x:f>
      </x:c>
      <x:c r="M367" s="20" t="str">
        <x:f>IF(A367="","",K367*Settings!$B$5)</x:f>
      </x:c>
      <x:c r="N367" s="20" t="str">
        <x:f>IF(A367="","",L367*Settings!$B$6)</x:f>
      </x:c>
      <x:c r="O367" s="22"/>
      <x:c r="P367" s="22"/>
      <x:c r="Q367" s="22" t="str">
        <x:f>IF(A367="","",MAX(O367-Settings!$B$7,0))</x:f>
      </x:c>
      <x:c r="R367" s="20" t="str">
        <x:f>IF(A367="","",Q367*Settings!$B$8)</x:f>
      </x:c>
      <x:c r="S367" s="20" t="str">
        <x:f>IF(A367="","",M367+N367)</x:f>
      </x:c>
      <x:c r="T367" s="20" t="str">
        <x:f>IF(A367="","",S367+R367)</x:f>
      </x:c>
    </x:row>
    <x:row r="368">
      <x:c r="A368" s="26"/>
      <x:c r="B368" s="26" t="str">
        <x:f>IF(A368="","",A368-MOD(WEEKDAY(A368,2)-5,7))</x:f>
      </x:c>
      <x:c r="C368" s="26" t="str">
        <x:f>IF(B368="","",B368+7)</x:f>
      </x:c>
      <x:c r="D368" t="str">
        <x:f>IF(A368="","",TEXT(A368,"dddd"))</x:f>
      </x:c>
      <x:c r="E368" s="24"/>
      <x:c r="F368" s="24"/>
      <x:c r="G368" s="32" t="n">
        <x:f>IF(AND(E368&lt;Settings!$B$11,F368&gt;Settings!$B$11),Settings!$B$12,0)</x:f>
        <x:v>0</x:v>
      </x:c>
      <x:c r="H368" s="32" t="n">
        <x:f>IF(AND(E368&lt;Settings!$B$13,F368&gt;Settings!$B$13),Settings!$B$14,0)</x:f>
        <x:v>0</x:v>
      </x:c>
      <x:c r="I368" s="32" t="str">
        <x:f>IF(A368="","",G368+H368)</x:f>
      </x:c>
      <x:c r="J368" s="22" t="str">
        <x:f>IF(A368="","",((F368-E368)*24)-(I368/60))</x:f>
      </x:c>
      <x:c r="K368" s="22" t="str">
        <x:f>IF(A368="","",MIN(J368,8))</x:f>
      </x:c>
      <x:c r="L368" s="22" t="str">
        <x:f>IF(A368="","",MAX(J368-8,0))</x:f>
      </x:c>
      <x:c r="M368" s="20" t="str">
        <x:f>IF(A368="","",K368*Settings!$B$5)</x:f>
      </x:c>
      <x:c r="N368" s="20" t="str">
        <x:f>IF(A368="","",L368*Settings!$B$6)</x:f>
      </x:c>
      <x:c r="O368" s="22"/>
      <x:c r="P368" s="22"/>
      <x:c r="Q368" s="22" t="str">
        <x:f>IF(A368="","",MAX(O368-Settings!$B$7,0))</x:f>
      </x:c>
      <x:c r="R368" s="20" t="str">
        <x:f>IF(A368="","",Q368*Settings!$B$8)</x:f>
      </x:c>
      <x:c r="S368" s="20" t="str">
        <x:f>IF(A368="","",M368+N368)</x:f>
      </x:c>
      <x:c r="T368" s="20" t="str">
        <x:f>IF(A368="","",S368+R368)</x:f>
      </x:c>
    </x:row>
    <x:row r="369">
      <x:c r="A369" s="26"/>
      <x:c r="B369" s="26" t="str">
        <x:f>IF(A369="","",A369-MOD(WEEKDAY(A369,2)-5,7))</x:f>
      </x:c>
      <x:c r="C369" s="26" t="str">
        <x:f>IF(B369="","",B369+7)</x:f>
      </x:c>
      <x:c r="D369" t="str">
        <x:f>IF(A369="","",TEXT(A369,"dddd"))</x:f>
      </x:c>
      <x:c r="E369" s="24"/>
      <x:c r="F369" s="24"/>
      <x:c r="G369" s="32" t="n">
        <x:f>IF(AND(E369&lt;Settings!$B$11,F369&gt;Settings!$B$11),Settings!$B$12,0)</x:f>
        <x:v>0</x:v>
      </x:c>
      <x:c r="H369" s="32" t="n">
        <x:f>IF(AND(E369&lt;Settings!$B$13,F369&gt;Settings!$B$13),Settings!$B$14,0)</x:f>
        <x:v>0</x:v>
      </x:c>
      <x:c r="I369" s="32" t="str">
        <x:f>IF(A369="","",G369+H369)</x:f>
      </x:c>
      <x:c r="J369" s="22" t="str">
        <x:f>IF(A369="","",((F369-E369)*24)-(I369/60))</x:f>
      </x:c>
      <x:c r="K369" s="22" t="str">
        <x:f>IF(A369="","",MIN(J369,8))</x:f>
      </x:c>
      <x:c r="L369" s="22" t="str">
        <x:f>IF(A369="","",MAX(J369-8,0))</x:f>
      </x:c>
      <x:c r="M369" s="20" t="str">
        <x:f>IF(A369="","",K369*Settings!$B$5)</x:f>
      </x:c>
      <x:c r="N369" s="20" t="str">
        <x:f>IF(A369="","",L369*Settings!$B$6)</x:f>
      </x:c>
      <x:c r="O369" s="22"/>
      <x:c r="P369" s="22"/>
      <x:c r="Q369" s="22" t="str">
        <x:f>IF(A369="","",MAX(O369-Settings!$B$7,0))</x:f>
      </x:c>
      <x:c r="R369" s="20" t="str">
        <x:f>IF(A369="","",Q369*Settings!$B$8)</x:f>
      </x:c>
      <x:c r="S369" s="20" t="str">
        <x:f>IF(A369="","",M369+N369)</x:f>
      </x:c>
      <x:c r="T369" s="20" t="str">
        <x:f>IF(A369="","",S369+R369)</x:f>
      </x:c>
    </x:row>
    <x:row r="370">
      <x:c r="A370" s="26"/>
      <x:c r="B370" s="26" t="str">
        <x:f>IF(A370="","",A370-MOD(WEEKDAY(A370,2)-5,7))</x:f>
      </x:c>
      <x:c r="C370" s="26" t="str">
        <x:f>IF(B370="","",B370+7)</x:f>
      </x:c>
      <x:c r="D370" t="str">
        <x:f>IF(A370="","",TEXT(A370,"dddd"))</x:f>
      </x:c>
      <x:c r="E370" s="24"/>
      <x:c r="F370" s="24"/>
      <x:c r="G370" s="32" t="n">
        <x:f>IF(AND(E370&lt;Settings!$B$11,F370&gt;Settings!$B$11),Settings!$B$12,0)</x:f>
        <x:v>0</x:v>
      </x:c>
      <x:c r="H370" s="32" t="n">
        <x:f>IF(AND(E370&lt;Settings!$B$13,F370&gt;Settings!$B$13),Settings!$B$14,0)</x:f>
        <x:v>0</x:v>
      </x:c>
      <x:c r="I370" s="32" t="str">
        <x:f>IF(A370="","",G370+H370)</x:f>
      </x:c>
      <x:c r="J370" s="22" t="str">
        <x:f>IF(A370="","",((F370-E370)*24)-(I370/60))</x:f>
      </x:c>
      <x:c r="K370" s="22" t="str">
        <x:f>IF(A370="","",MIN(J370,8))</x:f>
      </x:c>
      <x:c r="L370" s="22" t="str">
        <x:f>IF(A370="","",MAX(J370-8,0))</x:f>
      </x:c>
      <x:c r="M370" s="20" t="str">
        <x:f>IF(A370="","",K370*Settings!$B$5)</x:f>
      </x:c>
      <x:c r="N370" s="20" t="str">
        <x:f>IF(A370="","",L370*Settings!$B$6)</x:f>
      </x:c>
      <x:c r="O370" s="22"/>
      <x:c r="P370" s="22"/>
      <x:c r="Q370" s="22" t="str">
        <x:f>IF(A370="","",MAX(O370-Settings!$B$7,0))</x:f>
      </x:c>
      <x:c r="R370" s="20" t="str">
        <x:f>IF(A370="","",Q370*Settings!$B$8)</x:f>
      </x:c>
      <x:c r="S370" s="20" t="str">
        <x:f>IF(A370="","",M370+N370)</x:f>
      </x:c>
      <x:c r="T370" s="20" t="str">
        <x:f>IF(A370="","",S370+R370)</x:f>
      </x:c>
    </x:row>
    <x:row r="371">
      <x:c r="A371" s="26"/>
      <x:c r="B371" s="26" t="str">
        <x:f>IF(A371="","",A371-MOD(WEEKDAY(A371,2)-5,7))</x:f>
      </x:c>
      <x:c r="C371" s="26" t="str">
        <x:f>IF(B371="","",B371+7)</x:f>
      </x:c>
      <x:c r="D371" t="str">
        <x:f>IF(A371="","",TEXT(A371,"dddd"))</x:f>
      </x:c>
      <x:c r="E371" s="24"/>
      <x:c r="F371" s="24"/>
      <x:c r="G371" s="32" t="n">
        <x:f>IF(AND(E371&lt;Settings!$B$11,F371&gt;Settings!$B$11),Settings!$B$12,0)</x:f>
        <x:v>0</x:v>
      </x:c>
      <x:c r="H371" s="32" t="n">
        <x:f>IF(AND(E371&lt;Settings!$B$13,F371&gt;Settings!$B$13),Settings!$B$14,0)</x:f>
        <x:v>0</x:v>
      </x:c>
      <x:c r="I371" s="32" t="str">
        <x:f>IF(A371="","",G371+H371)</x:f>
      </x:c>
      <x:c r="J371" s="22" t="str">
        <x:f>IF(A371="","",((F371-E371)*24)-(I371/60))</x:f>
      </x:c>
      <x:c r="K371" s="22" t="str">
        <x:f>IF(A371="","",MIN(J371,8))</x:f>
      </x:c>
      <x:c r="L371" s="22" t="str">
        <x:f>IF(A371="","",MAX(J371-8,0))</x:f>
      </x:c>
      <x:c r="M371" s="20" t="str">
        <x:f>IF(A371="","",K371*Settings!$B$5)</x:f>
      </x:c>
      <x:c r="N371" s="20" t="str">
        <x:f>IF(A371="","",L371*Settings!$B$6)</x:f>
      </x:c>
      <x:c r="O371" s="22"/>
      <x:c r="P371" s="22"/>
      <x:c r="Q371" s="22" t="str">
        <x:f>IF(A371="","",MAX(O371-Settings!$B$7,0))</x:f>
      </x:c>
      <x:c r="R371" s="20" t="str">
        <x:f>IF(A371="","",Q371*Settings!$B$8)</x:f>
      </x:c>
      <x:c r="S371" s="20" t="str">
        <x:f>IF(A371="","",M371+N371)</x:f>
      </x:c>
      <x:c r="T371" s="20" t="str">
        <x:f>IF(A371="","",S371+R371)</x:f>
      </x:c>
    </x:row>
    <x:row r="372">
      <x:c r="A372" s="26"/>
      <x:c r="B372" s="26" t="str">
        <x:f>IF(A372="","",A372-MOD(WEEKDAY(A372,2)-5,7))</x:f>
      </x:c>
      <x:c r="C372" s="26" t="str">
        <x:f>IF(B372="","",B372+7)</x:f>
      </x:c>
      <x:c r="D372" t="str">
        <x:f>IF(A372="","",TEXT(A372,"dddd"))</x:f>
      </x:c>
      <x:c r="E372" s="24"/>
      <x:c r="F372" s="24"/>
      <x:c r="G372" s="32" t="n">
        <x:f>IF(AND(E372&lt;Settings!$B$11,F372&gt;Settings!$B$11),Settings!$B$12,0)</x:f>
        <x:v>0</x:v>
      </x:c>
      <x:c r="H372" s="32" t="n">
        <x:f>IF(AND(E372&lt;Settings!$B$13,F372&gt;Settings!$B$13),Settings!$B$14,0)</x:f>
        <x:v>0</x:v>
      </x:c>
      <x:c r="I372" s="32" t="str">
        <x:f>IF(A372="","",G372+H372)</x:f>
      </x:c>
      <x:c r="J372" s="22" t="str">
        <x:f>IF(A372="","",((F372-E372)*24)-(I372/60))</x:f>
      </x:c>
      <x:c r="K372" s="22" t="str">
        <x:f>IF(A372="","",MIN(J372,8))</x:f>
      </x:c>
      <x:c r="L372" s="22" t="str">
        <x:f>IF(A372="","",MAX(J372-8,0))</x:f>
      </x:c>
      <x:c r="M372" s="20" t="str">
        <x:f>IF(A372="","",K372*Settings!$B$5)</x:f>
      </x:c>
      <x:c r="N372" s="20" t="str">
        <x:f>IF(A372="","",L372*Settings!$B$6)</x:f>
      </x:c>
      <x:c r="O372" s="22"/>
      <x:c r="P372" s="22"/>
      <x:c r="Q372" s="22" t="str">
        <x:f>IF(A372="","",MAX(O372-Settings!$B$7,0))</x:f>
      </x:c>
      <x:c r="R372" s="20" t="str">
        <x:f>IF(A372="","",Q372*Settings!$B$8)</x:f>
      </x:c>
      <x:c r="S372" s="20" t="str">
        <x:f>IF(A372="","",M372+N372)</x:f>
      </x:c>
      <x:c r="T372" s="20" t="str">
        <x:f>IF(A372="","",S372+R372)</x:f>
      </x:c>
    </x:row>
    <x:row r="373">
      <x:c r="A373" s="26"/>
      <x:c r="B373" s="26" t="str">
        <x:f>IF(A373="","",A373-MOD(WEEKDAY(A373,2)-5,7))</x:f>
      </x:c>
      <x:c r="C373" s="26" t="str">
        <x:f>IF(B373="","",B373+7)</x:f>
      </x:c>
      <x:c r="D373" t="str">
        <x:f>IF(A373="","",TEXT(A373,"dddd"))</x:f>
      </x:c>
      <x:c r="E373" s="24"/>
      <x:c r="F373" s="24"/>
      <x:c r="G373" s="32" t="n">
        <x:f>IF(AND(E373&lt;Settings!$B$11,F373&gt;Settings!$B$11),Settings!$B$12,0)</x:f>
        <x:v>0</x:v>
      </x:c>
      <x:c r="H373" s="32" t="n">
        <x:f>IF(AND(E373&lt;Settings!$B$13,F373&gt;Settings!$B$13),Settings!$B$14,0)</x:f>
        <x:v>0</x:v>
      </x:c>
      <x:c r="I373" s="32" t="str">
        <x:f>IF(A373="","",G373+H373)</x:f>
      </x:c>
      <x:c r="J373" s="22" t="str">
        <x:f>IF(A373="","",((F373-E373)*24)-(I373/60))</x:f>
      </x:c>
      <x:c r="K373" s="22" t="str">
        <x:f>IF(A373="","",MIN(J373,8))</x:f>
      </x:c>
      <x:c r="L373" s="22" t="str">
        <x:f>IF(A373="","",MAX(J373-8,0))</x:f>
      </x:c>
      <x:c r="M373" s="20" t="str">
        <x:f>IF(A373="","",K373*Settings!$B$5)</x:f>
      </x:c>
      <x:c r="N373" s="20" t="str">
        <x:f>IF(A373="","",L373*Settings!$B$6)</x:f>
      </x:c>
      <x:c r="O373" s="22"/>
      <x:c r="P373" s="22"/>
      <x:c r="Q373" s="22" t="str">
        <x:f>IF(A373="","",MAX(O373-Settings!$B$7,0))</x:f>
      </x:c>
      <x:c r="R373" s="20" t="str">
        <x:f>IF(A373="","",Q373*Settings!$B$8)</x:f>
      </x:c>
      <x:c r="S373" s="20" t="str">
        <x:f>IF(A373="","",M373+N373)</x:f>
      </x:c>
      <x:c r="T373" s="20" t="str">
        <x:f>IF(A373="","",S373+R373)</x:f>
      </x:c>
    </x:row>
    <x:row r="374">
      <x:c r="A374" s="26"/>
      <x:c r="B374" s="26" t="str">
        <x:f>IF(A374="","",A374-MOD(WEEKDAY(A374,2)-5,7))</x:f>
      </x:c>
      <x:c r="C374" s="26" t="str">
        <x:f>IF(B374="","",B374+7)</x:f>
      </x:c>
      <x:c r="D374" t="str">
        <x:f>IF(A374="","",TEXT(A374,"dddd"))</x:f>
      </x:c>
      <x:c r="E374" s="24"/>
      <x:c r="F374" s="24"/>
      <x:c r="G374" s="32" t="n">
        <x:f>IF(AND(E374&lt;Settings!$B$11,F374&gt;Settings!$B$11),Settings!$B$12,0)</x:f>
        <x:v>0</x:v>
      </x:c>
      <x:c r="H374" s="32" t="n">
        <x:f>IF(AND(E374&lt;Settings!$B$13,F374&gt;Settings!$B$13),Settings!$B$14,0)</x:f>
        <x:v>0</x:v>
      </x:c>
      <x:c r="I374" s="32" t="str">
        <x:f>IF(A374="","",G374+H374)</x:f>
      </x:c>
      <x:c r="J374" s="22" t="str">
        <x:f>IF(A374="","",((F374-E374)*24)-(I374/60))</x:f>
      </x:c>
      <x:c r="K374" s="22" t="str">
        <x:f>IF(A374="","",MIN(J374,8))</x:f>
      </x:c>
      <x:c r="L374" s="22" t="str">
        <x:f>IF(A374="","",MAX(J374-8,0))</x:f>
      </x:c>
      <x:c r="M374" s="20" t="str">
        <x:f>IF(A374="","",K374*Settings!$B$5)</x:f>
      </x:c>
      <x:c r="N374" s="20" t="str">
        <x:f>IF(A374="","",L374*Settings!$B$6)</x:f>
      </x:c>
      <x:c r="O374" s="22"/>
      <x:c r="P374" s="22"/>
      <x:c r="Q374" s="22" t="str">
        <x:f>IF(A374="","",MAX(O374-Settings!$B$7,0))</x:f>
      </x:c>
      <x:c r="R374" s="20" t="str">
        <x:f>IF(A374="","",Q374*Settings!$B$8)</x:f>
      </x:c>
      <x:c r="S374" s="20" t="str">
        <x:f>IF(A374="","",M374+N374)</x:f>
      </x:c>
      <x:c r="T374" s="20" t="str">
        <x:f>IF(A374="","",S374+R374)</x:f>
      </x:c>
    </x:row>
    <x:row r="375">
      <x:c r="A375" s="26"/>
      <x:c r="B375" s="26" t="str">
        <x:f>IF(A375="","",A375-MOD(WEEKDAY(A375,2)-5,7))</x:f>
      </x:c>
      <x:c r="C375" s="26" t="str">
        <x:f>IF(B375="","",B375+7)</x:f>
      </x:c>
      <x:c r="D375" t="str">
        <x:f>IF(A375="","",TEXT(A375,"dddd"))</x:f>
      </x:c>
      <x:c r="E375" s="24"/>
      <x:c r="F375" s="24"/>
      <x:c r="G375" s="32" t="n">
        <x:f>IF(AND(E375&lt;Settings!$B$11,F375&gt;Settings!$B$11),Settings!$B$12,0)</x:f>
        <x:v>0</x:v>
      </x:c>
      <x:c r="H375" s="32" t="n">
        <x:f>IF(AND(E375&lt;Settings!$B$13,F375&gt;Settings!$B$13),Settings!$B$14,0)</x:f>
        <x:v>0</x:v>
      </x:c>
      <x:c r="I375" s="32" t="str">
        <x:f>IF(A375="","",G375+H375)</x:f>
      </x:c>
      <x:c r="J375" s="22" t="str">
        <x:f>IF(A375="","",((F375-E375)*24)-(I375/60))</x:f>
      </x:c>
      <x:c r="K375" s="22" t="str">
        <x:f>IF(A375="","",MIN(J375,8))</x:f>
      </x:c>
      <x:c r="L375" s="22" t="str">
        <x:f>IF(A375="","",MAX(J375-8,0))</x:f>
      </x:c>
      <x:c r="M375" s="20" t="str">
        <x:f>IF(A375="","",K375*Settings!$B$5)</x:f>
      </x:c>
      <x:c r="N375" s="20" t="str">
        <x:f>IF(A375="","",L375*Settings!$B$6)</x:f>
      </x:c>
      <x:c r="O375" s="22"/>
      <x:c r="P375" s="22"/>
      <x:c r="Q375" s="22" t="str">
        <x:f>IF(A375="","",MAX(O375-Settings!$B$7,0))</x:f>
      </x:c>
      <x:c r="R375" s="20" t="str">
        <x:f>IF(A375="","",Q375*Settings!$B$8)</x:f>
      </x:c>
      <x:c r="S375" s="20" t="str">
        <x:f>IF(A375="","",M375+N375)</x:f>
      </x:c>
      <x:c r="T375" s="20" t="str">
        <x:f>IF(A375="","",S375+R375)</x:f>
      </x:c>
    </x:row>
    <x:row r="376">
      <x:c r="A376" s="26"/>
      <x:c r="B376" s="26" t="str">
        <x:f>IF(A376="","",A376-MOD(WEEKDAY(A376,2)-5,7))</x:f>
      </x:c>
      <x:c r="C376" s="26" t="str">
        <x:f>IF(B376="","",B376+7)</x:f>
      </x:c>
      <x:c r="D376" t="str">
        <x:f>IF(A376="","",TEXT(A376,"dddd"))</x:f>
      </x:c>
      <x:c r="E376" s="24"/>
      <x:c r="F376" s="24"/>
      <x:c r="G376" s="32" t="n">
        <x:f>IF(AND(E376&lt;Settings!$B$11,F376&gt;Settings!$B$11),Settings!$B$12,0)</x:f>
        <x:v>0</x:v>
      </x:c>
      <x:c r="H376" s="32" t="n">
        <x:f>IF(AND(E376&lt;Settings!$B$13,F376&gt;Settings!$B$13),Settings!$B$14,0)</x:f>
        <x:v>0</x:v>
      </x:c>
      <x:c r="I376" s="32" t="str">
        <x:f>IF(A376="","",G376+H376)</x:f>
      </x:c>
      <x:c r="J376" s="22" t="str">
        <x:f>IF(A376="","",((F376-E376)*24)-(I376/60))</x:f>
      </x:c>
      <x:c r="K376" s="22" t="str">
        <x:f>IF(A376="","",MIN(J376,8))</x:f>
      </x:c>
      <x:c r="L376" s="22" t="str">
        <x:f>IF(A376="","",MAX(J376-8,0))</x:f>
      </x:c>
      <x:c r="M376" s="20" t="str">
        <x:f>IF(A376="","",K376*Settings!$B$5)</x:f>
      </x:c>
      <x:c r="N376" s="20" t="str">
        <x:f>IF(A376="","",L376*Settings!$B$6)</x:f>
      </x:c>
      <x:c r="O376" s="22"/>
      <x:c r="P376" s="22"/>
      <x:c r="Q376" s="22" t="str">
        <x:f>IF(A376="","",MAX(O376-Settings!$B$7,0))</x:f>
      </x:c>
      <x:c r="R376" s="20" t="str">
        <x:f>IF(A376="","",Q376*Settings!$B$8)</x:f>
      </x:c>
      <x:c r="S376" s="20" t="str">
        <x:f>IF(A376="","",M376+N376)</x:f>
      </x:c>
      <x:c r="T376" s="20" t="str">
        <x:f>IF(A376="","",S376+R376)</x:f>
      </x:c>
    </x:row>
    <x:row r="377">
      <x:c r="A377" s="26"/>
      <x:c r="B377" s="26" t="str">
        <x:f>IF(A377="","",A377-MOD(WEEKDAY(A377,2)-5,7))</x:f>
      </x:c>
      <x:c r="C377" s="26" t="str">
        <x:f>IF(B377="","",B377+7)</x:f>
      </x:c>
      <x:c r="D377" t="str">
        <x:f>IF(A377="","",TEXT(A377,"dddd"))</x:f>
      </x:c>
      <x:c r="E377" s="24"/>
      <x:c r="F377" s="24"/>
      <x:c r="G377" s="32" t="n">
        <x:f>IF(AND(E377&lt;Settings!$B$11,F377&gt;Settings!$B$11),Settings!$B$12,0)</x:f>
        <x:v>0</x:v>
      </x:c>
      <x:c r="H377" s="32" t="n">
        <x:f>IF(AND(E377&lt;Settings!$B$13,F377&gt;Settings!$B$13),Settings!$B$14,0)</x:f>
        <x:v>0</x:v>
      </x:c>
      <x:c r="I377" s="32" t="str">
        <x:f>IF(A377="","",G377+H377)</x:f>
      </x:c>
      <x:c r="J377" s="22" t="str">
        <x:f>IF(A377="","",((F377-E377)*24)-(I377/60))</x:f>
      </x:c>
      <x:c r="K377" s="22" t="str">
        <x:f>IF(A377="","",MIN(J377,8))</x:f>
      </x:c>
      <x:c r="L377" s="22" t="str">
        <x:f>IF(A377="","",MAX(J377-8,0))</x:f>
      </x:c>
      <x:c r="M377" s="20" t="str">
        <x:f>IF(A377="","",K377*Settings!$B$5)</x:f>
      </x:c>
      <x:c r="N377" s="20" t="str">
        <x:f>IF(A377="","",L377*Settings!$B$6)</x:f>
      </x:c>
      <x:c r="O377" s="22"/>
      <x:c r="P377" s="22"/>
      <x:c r="Q377" s="22" t="str">
        <x:f>IF(A377="","",MAX(O377-Settings!$B$7,0))</x:f>
      </x:c>
      <x:c r="R377" s="20" t="str">
        <x:f>IF(A377="","",Q377*Settings!$B$8)</x:f>
      </x:c>
      <x:c r="S377" s="20" t="str">
        <x:f>IF(A377="","",M377+N377)</x:f>
      </x:c>
      <x:c r="T377" s="20" t="str">
        <x:f>IF(A377="","",S377+R377)</x:f>
      </x:c>
    </x:row>
    <x:row r="378">
      <x:c r="A378" s="26"/>
      <x:c r="B378" s="26" t="str">
        <x:f>IF(A378="","",A378-MOD(WEEKDAY(A378,2)-5,7))</x:f>
      </x:c>
      <x:c r="C378" s="26" t="str">
        <x:f>IF(B378="","",B378+7)</x:f>
      </x:c>
      <x:c r="D378" t="str">
        <x:f>IF(A378="","",TEXT(A378,"dddd"))</x:f>
      </x:c>
      <x:c r="E378" s="24"/>
      <x:c r="F378" s="24"/>
      <x:c r="G378" s="32" t="n">
        <x:f>IF(AND(E378&lt;Settings!$B$11,F378&gt;Settings!$B$11),Settings!$B$12,0)</x:f>
        <x:v>0</x:v>
      </x:c>
      <x:c r="H378" s="32" t="n">
        <x:f>IF(AND(E378&lt;Settings!$B$13,F378&gt;Settings!$B$13),Settings!$B$14,0)</x:f>
        <x:v>0</x:v>
      </x:c>
      <x:c r="I378" s="32" t="str">
        <x:f>IF(A378="","",G378+H378)</x:f>
      </x:c>
      <x:c r="J378" s="22" t="str">
        <x:f>IF(A378="","",((F378-E378)*24)-(I378/60))</x:f>
      </x:c>
      <x:c r="K378" s="22" t="str">
        <x:f>IF(A378="","",MIN(J378,8))</x:f>
      </x:c>
      <x:c r="L378" s="22" t="str">
        <x:f>IF(A378="","",MAX(J378-8,0))</x:f>
      </x:c>
      <x:c r="M378" s="20" t="str">
        <x:f>IF(A378="","",K378*Settings!$B$5)</x:f>
      </x:c>
      <x:c r="N378" s="20" t="str">
        <x:f>IF(A378="","",L378*Settings!$B$6)</x:f>
      </x:c>
      <x:c r="O378" s="22"/>
      <x:c r="P378" s="22"/>
      <x:c r="Q378" s="22" t="str">
        <x:f>IF(A378="","",MAX(O378-Settings!$B$7,0))</x:f>
      </x:c>
      <x:c r="R378" s="20" t="str">
        <x:f>IF(A378="","",Q378*Settings!$B$8)</x:f>
      </x:c>
      <x:c r="S378" s="20" t="str">
        <x:f>IF(A378="","",M378+N378)</x:f>
      </x:c>
      <x:c r="T378" s="20" t="str">
        <x:f>IF(A378="","",S378+R378)</x:f>
      </x:c>
    </x:row>
    <x:row r="379">
      <x:c r="A379" s="26"/>
      <x:c r="B379" s="26" t="str">
        <x:f>IF(A379="","",A379-MOD(WEEKDAY(A379,2)-5,7))</x:f>
      </x:c>
      <x:c r="C379" s="26" t="str">
        <x:f>IF(B379="","",B379+7)</x:f>
      </x:c>
      <x:c r="D379" t="str">
        <x:f>IF(A379="","",TEXT(A379,"dddd"))</x:f>
      </x:c>
      <x:c r="E379" s="24"/>
      <x:c r="F379" s="24"/>
      <x:c r="G379" s="32" t="n">
        <x:f>IF(AND(E379&lt;Settings!$B$11,F379&gt;Settings!$B$11),Settings!$B$12,0)</x:f>
        <x:v>0</x:v>
      </x:c>
      <x:c r="H379" s="32" t="n">
        <x:f>IF(AND(E379&lt;Settings!$B$13,F379&gt;Settings!$B$13),Settings!$B$14,0)</x:f>
        <x:v>0</x:v>
      </x:c>
      <x:c r="I379" s="32" t="str">
        <x:f>IF(A379="","",G379+H379)</x:f>
      </x:c>
      <x:c r="J379" s="22" t="str">
        <x:f>IF(A379="","",((F379-E379)*24)-(I379/60))</x:f>
      </x:c>
      <x:c r="K379" s="22" t="str">
        <x:f>IF(A379="","",MIN(J379,8))</x:f>
      </x:c>
      <x:c r="L379" s="22" t="str">
        <x:f>IF(A379="","",MAX(J379-8,0))</x:f>
      </x:c>
      <x:c r="M379" s="20" t="str">
        <x:f>IF(A379="","",K379*Settings!$B$5)</x:f>
      </x:c>
      <x:c r="N379" s="20" t="str">
        <x:f>IF(A379="","",L379*Settings!$B$6)</x:f>
      </x:c>
      <x:c r="O379" s="22"/>
      <x:c r="P379" s="22"/>
      <x:c r="Q379" s="22" t="str">
        <x:f>IF(A379="","",MAX(O379-Settings!$B$7,0))</x:f>
      </x:c>
      <x:c r="R379" s="20" t="str">
        <x:f>IF(A379="","",Q379*Settings!$B$8)</x:f>
      </x:c>
      <x:c r="S379" s="20" t="str">
        <x:f>IF(A379="","",M379+N379)</x:f>
      </x:c>
      <x:c r="T379" s="20" t="str">
        <x:f>IF(A379="","",S379+R379)</x:f>
      </x:c>
    </x:row>
    <x:row r="380">
      <x:c r="A380" s="26"/>
      <x:c r="B380" s="26" t="str">
        <x:f>IF(A380="","",A380-MOD(WEEKDAY(A380,2)-5,7))</x:f>
      </x:c>
      <x:c r="C380" s="26" t="str">
        <x:f>IF(B380="","",B380+7)</x:f>
      </x:c>
      <x:c r="D380" t="str">
        <x:f>IF(A380="","",TEXT(A380,"dddd"))</x:f>
      </x:c>
      <x:c r="E380" s="24"/>
      <x:c r="F380" s="24"/>
      <x:c r="G380" s="32" t="n">
        <x:f>IF(AND(E380&lt;Settings!$B$11,F380&gt;Settings!$B$11),Settings!$B$12,0)</x:f>
        <x:v>0</x:v>
      </x:c>
      <x:c r="H380" s="32" t="n">
        <x:f>IF(AND(E380&lt;Settings!$B$13,F380&gt;Settings!$B$13),Settings!$B$14,0)</x:f>
        <x:v>0</x:v>
      </x:c>
      <x:c r="I380" s="32" t="str">
        <x:f>IF(A380="","",G380+H380)</x:f>
      </x:c>
      <x:c r="J380" s="22" t="str">
        <x:f>IF(A380="","",((F380-E380)*24)-(I380/60))</x:f>
      </x:c>
      <x:c r="K380" s="22" t="str">
        <x:f>IF(A380="","",MIN(J380,8))</x:f>
      </x:c>
      <x:c r="L380" s="22" t="str">
        <x:f>IF(A380="","",MAX(J380-8,0))</x:f>
      </x:c>
      <x:c r="M380" s="20" t="str">
        <x:f>IF(A380="","",K380*Settings!$B$5)</x:f>
      </x:c>
      <x:c r="N380" s="20" t="str">
        <x:f>IF(A380="","",L380*Settings!$B$6)</x:f>
      </x:c>
      <x:c r="O380" s="22"/>
      <x:c r="P380" s="22"/>
      <x:c r="Q380" s="22" t="str">
        <x:f>IF(A380="","",MAX(O380-Settings!$B$7,0))</x:f>
      </x:c>
      <x:c r="R380" s="20" t="str">
        <x:f>IF(A380="","",Q380*Settings!$B$8)</x:f>
      </x:c>
      <x:c r="S380" s="20" t="str">
        <x:f>IF(A380="","",M380+N380)</x:f>
      </x:c>
      <x:c r="T380" s="20" t="str">
        <x:f>IF(A380="","",S380+R380)</x:f>
      </x:c>
    </x:row>
    <x:row r="381">
      <x:c r="A381" s="26"/>
      <x:c r="B381" s="26" t="str">
        <x:f>IF(A381="","",A381-MOD(WEEKDAY(A381,2)-5,7))</x:f>
      </x:c>
      <x:c r="C381" s="26" t="str">
        <x:f>IF(B381="","",B381+7)</x:f>
      </x:c>
      <x:c r="D381" t="str">
        <x:f>IF(A381="","",TEXT(A381,"dddd"))</x:f>
      </x:c>
      <x:c r="E381" s="24"/>
      <x:c r="F381" s="24"/>
      <x:c r="G381" s="32" t="n">
        <x:f>IF(AND(E381&lt;Settings!$B$11,F381&gt;Settings!$B$11),Settings!$B$12,0)</x:f>
        <x:v>0</x:v>
      </x:c>
      <x:c r="H381" s="32" t="n">
        <x:f>IF(AND(E381&lt;Settings!$B$13,F381&gt;Settings!$B$13),Settings!$B$14,0)</x:f>
        <x:v>0</x:v>
      </x:c>
      <x:c r="I381" s="32" t="str">
        <x:f>IF(A381="","",G381+H381)</x:f>
      </x:c>
      <x:c r="J381" s="22" t="str">
        <x:f>IF(A381="","",((F381-E381)*24)-(I381/60))</x:f>
      </x:c>
      <x:c r="K381" s="22" t="str">
        <x:f>IF(A381="","",MIN(J381,8))</x:f>
      </x:c>
      <x:c r="L381" s="22" t="str">
        <x:f>IF(A381="","",MAX(J381-8,0))</x:f>
      </x:c>
      <x:c r="M381" s="20" t="str">
        <x:f>IF(A381="","",K381*Settings!$B$5)</x:f>
      </x:c>
      <x:c r="N381" s="20" t="str">
        <x:f>IF(A381="","",L381*Settings!$B$6)</x:f>
      </x:c>
      <x:c r="O381" s="22"/>
      <x:c r="P381" s="22"/>
      <x:c r="Q381" s="22" t="str">
        <x:f>IF(A381="","",MAX(O381-Settings!$B$7,0))</x:f>
      </x:c>
      <x:c r="R381" s="20" t="str">
        <x:f>IF(A381="","",Q381*Settings!$B$8)</x:f>
      </x:c>
      <x:c r="S381" s="20" t="str">
        <x:f>IF(A381="","",M381+N381)</x:f>
      </x:c>
      <x:c r="T381" s="20" t="str">
        <x:f>IF(A381="","",S381+R381)</x:f>
      </x:c>
    </x:row>
    <x:row r="382">
      <x:c r="A382" s="26"/>
      <x:c r="B382" s="26" t="str">
        <x:f>IF(A382="","",A382-MOD(WEEKDAY(A382,2)-5,7))</x:f>
      </x:c>
      <x:c r="C382" s="26" t="str">
        <x:f>IF(B382="","",B382+7)</x:f>
      </x:c>
      <x:c r="D382" t="str">
        <x:f>IF(A382="","",TEXT(A382,"dddd"))</x:f>
      </x:c>
      <x:c r="E382" s="24"/>
      <x:c r="F382" s="24"/>
      <x:c r="G382" s="32" t="n">
        <x:f>IF(AND(E382&lt;Settings!$B$11,F382&gt;Settings!$B$11),Settings!$B$12,0)</x:f>
        <x:v>0</x:v>
      </x:c>
      <x:c r="H382" s="32" t="n">
        <x:f>IF(AND(E382&lt;Settings!$B$13,F382&gt;Settings!$B$13),Settings!$B$14,0)</x:f>
        <x:v>0</x:v>
      </x:c>
      <x:c r="I382" s="32" t="str">
        <x:f>IF(A382="","",G382+H382)</x:f>
      </x:c>
      <x:c r="J382" s="22" t="str">
        <x:f>IF(A382="","",((F382-E382)*24)-(I382/60))</x:f>
      </x:c>
      <x:c r="K382" s="22" t="str">
        <x:f>IF(A382="","",MIN(J382,8))</x:f>
      </x:c>
      <x:c r="L382" s="22" t="str">
        <x:f>IF(A382="","",MAX(J382-8,0))</x:f>
      </x:c>
      <x:c r="M382" s="20" t="str">
        <x:f>IF(A382="","",K382*Settings!$B$5)</x:f>
      </x:c>
      <x:c r="N382" s="20" t="str">
        <x:f>IF(A382="","",L382*Settings!$B$6)</x:f>
      </x:c>
      <x:c r="O382" s="22"/>
      <x:c r="P382" s="22"/>
      <x:c r="Q382" s="22" t="str">
        <x:f>IF(A382="","",MAX(O382-Settings!$B$7,0))</x:f>
      </x:c>
      <x:c r="R382" s="20" t="str">
        <x:f>IF(A382="","",Q382*Settings!$B$8)</x:f>
      </x:c>
      <x:c r="S382" s="20" t="str">
        <x:f>IF(A382="","",M382+N382)</x:f>
      </x:c>
      <x:c r="T382" s="20" t="str">
        <x:f>IF(A382="","",S382+R382)</x:f>
      </x:c>
    </x:row>
    <x:row r="383">
      <x:c r="A383" s="26"/>
      <x:c r="B383" s="26" t="str">
        <x:f>IF(A383="","",A383-MOD(WEEKDAY(A383,2)-5,7))</x:f>
      </x:c>
      <x:c r="C383" s="26" t="str">
        <x:f>IF(B383="","",B383+7)</x:f>
      </x:c>
      <x:c r="D383" t="str">
        <x:f>IF(A383="","",TEXT(A383,"dddd"))</x:f>
      </x:c>
      <x:c r="E383" s="24"/>
      <x:c r="F383" s="24"/>
      <x:c r="G383" s="32" t="n">
        <x:f>IF(AND(E383&lt;Settings!$B$11,F383&gt;Settings!$B$11),Settings!$B$12,0)</x:f>
        <x:v>0</x:v>
      </x:c>
      <x:c r="H383" s="32" t="n">
        <x:f>IF(AND(E383&lt;Settings!$B$13,F383&gt;Settings!$B$13),Settings!$B$14,0)</x:f>
        <x:v>0</x:v>
      </x:c>
      <x:c r="I383" s="32" t="str">
        <x:f>IF(A383="","",G383+H383)</x:f>
      </x:c>
      <x:c r="J383" s="22" t="str">
        <x:f>IF(A383="","",((F383-E383)*24)-(I383/60))</x:f>
      </x:c>
      <x:c r="K383" s="22" t="str">
        <x:f>IF(A383="","",MIN(J383,8))</x:f>
      </x:c>
      <x:c r="L383" s="22" t="str">
        <x:f>IF(A383="","",MAX(J383-8,0))</x:f>
      </x:c>
      <x:c r="M383" s="20" t="str">
        <x:f>IF(A383="","",K383*Settings!$B$5)</x:f>
      </x:c>
      <x:c r="N383" s="20" t="str">
        <x:f>IF(A383="","",L383*Settings!$B$6)</x:f>
      </x:c>
      <x:c r="O383" s="22"/>
      <x:c r="P383" s="22"/>
      <x:c r="Q383" s="22" t="str">
        <x:f>IF(A383="","",MAX(O383-Settings!$B$7,0))</x:f>
      </x:c>
      <x:c r="R383" s="20" t="str">
        <x:f>IF(A383="","",Q383*Settings!$B$8)</x:f>
      </x:c>
      <x:c r="S383" s="20" t="str">
        <x:f>IF(A383="","",M383+N383)</x:f>
      </x:c>
      <x:c r="T383" s="20" t="str">
        <x:f>IF(A383="","",S383+R383)</x:f>
      </x:c>
    </x:row>
    <x:row r="384">
      <x:c r="A384" s="26"/>
      <x:c r="B384" s="26" t="str">
        <x:f>IF(A384="","",A384-MOD(WEEKDAY(A384,2)-5,7))</x:f>
      </x:c>
      <x:c r="C384" s="26" t="str">
        <x:f>IF(B384="","",B384+7)</x:f>
      </x:c>
      <x:c r="D384" t="str">
        <x:f>IF(A384="","",TEXT(A384,"dddd"))</x:f>
      </x:c>
      <x:c r="E384" s="24"/>
      <x:c r="F384" s="24"/>
      <x:c r="G384" s="32" t="n">
        <x:f>IF(AND(E384&lt;Settings!$B$11,F384&gt;Settings!$B$11),Settings!$B$12,0)</x:f>
        <x:v>0</x:v>
      </x:c>
      <x:c r="H384" s="32" t="n">
        <x:f>IF(AND(E384&lt;Settings!$B$13,F384&gt;Settings!$B$13),Settings!$B$14,0)</x:f>
        <x:v>0</x:v>
      </x:c>
      <x:c r="I384" s="32" t="str">
        <x:f>IF(A384="","",G384+H384)</x:f>
      </x:c>
      <x:c r="J384" s="22" t="str">
        <x:f>IF(A384="","",((F384-E384)*24)-(I384/60))</x:f>
      </x:c>
      <x:c r="K384" s="22" t="str">
        <x:f>IF(A384="","",MIN(J384,8))</x:f>
      </x:c>
      <x:c r="L384" s="22" t="str">
        <x:f>IF(A384="","",MAX(J384-8,0))</x:f>
      </x:c>
      <x:c r="M384" s="20" t="str">
        <x:f>IF(A384="","",K384*Settings!$B$5)</x:f>
      </x:c>
      <x:c r="N384" s="20" t="str">
        <x:f>IF(A384="","",L384*Settings!$B$6)</x:f>
      </x:c>
      <x:c r="O384" s="22"/>
      <x:c r="P384" s="22"/>
      <x:c r="Q384" s="22" t="str">
        <x:f>IF(A384="","",MAX(O384-Settings!$B$7,0))</x:f>
      </x:c>
      <x:c r="R384" s="20" t="str">
        <x:f>IF(A384="","",Q384*Settings!$B$8)</x:f>
      </x:c>
      <x:c r="S384" s="20" t="str">
        <x:f>IF(A384="","",M384+N384)</x:f>
      </x:c>
      <x:c r="T384" s="20" t="str">
        <x:f>IF(A384="","",S384+R384)</x:f>
      </x:c>
    </x:row>
    <x:row r="385">
      <x:c r="A385" s="26"/>
      <x:c r="B385" s="26" t="str">
        <x:f>IF(A385="","",A385-MOD(WEEKDAY(A385,2)-5,7))</x:f>
      </x:c>
      <x:c r="C385" s="26" t="str">
        <x:f>IF(B385="","",B385+7)</x:f>
      </x:c>
      <x:c r="D385" t="str">
        <x:f>IF(A385="","",TEXT(A385,"dddd"))</x:f>
      </x:c>
      <x:c r="E385" s="24"/>
      <x:c r="F385" s="24"/>
      <x:c r="G385" s="32" t="n">
        <x:f>IF(AND(E385&lt;Settings!$B$11,F385&gt;Settings!$B$11),Settings!$B$12,0)</x:f>
        <x:v>0</x:v>
      </x:c>
      <x:c r="H385" s="32" t="n">
        <x:f>IF(AND(E385&lt;Settings!$B$13,F385&gt;Settings!$B$13),Settings!$B$14,0)</x:f>
        <x:v>0</x:v>
      </x:c>
      <x:c r="I385" s="32" t="str">
        <x:f>IF(A385="","",G385+H385)</x:f>
      </x:c>
      <x:c r="J385" s="22" t="str">
        <x:f>IF(A385="","",((F385-E385)*24)-(I385/60))</x:f>
      </x:c>
      <x:c r="K385" s="22" t="str">
        <x:f>IF(A385="","",MIN(J385,8))</x:f>
      </x:c>
      <x:c r="L385" s="22" t="str">
        <x:f>IF(A385="","",MAX(J385-8,0))</x:f>
      </x:c>
      <x:c r="M385" s="20" t="str">
        <x:f>IF(A385="","",K385*Settings!$B$5)</x:f>
      </x:c>
      <x:c r="N385" s="20" t="str">
        <x:f>IF(A385="","",L385*Settings!$B$6)</x:f>
      </x:c>
      <x:c r="O385" s="22"/>
      <x:c r="P385" s="22"/>
      <x:c r="Q385" s="22" t="str">
        <x:f>IF(A385="","",MAX(O385-Settings!$B$7,0))</x:f>
      </x:c>
      <x:c r="R385" s="20" t="str">
        <x:f>IF(A385="","",Q385*Settings!$B$8)</x:f>
      </x:c>
      <x:c r="S385" s="20" t="str">
        <x:f>IF(A385="","",M385+N385)</x:f>
      </x:c>
      <x:c r="T385" s="20" t="str">
        <x:f>IF(A385="","",S385+R385)</x:f>
      </x:c>
    </x:row>
    <x:row r="386">
      <x:c r="A386" s="26"/>
      <x:c r="B386" s="26" t="str">
        <x:f>IF(A386="","",A386-MOD(WEEKDAY(A386,2)-5,7))</x:f>
      </x:c>
      <x:c r="C386" s="26" t="str">
        <x:f>IF(B386="","",B386+7)</x:f>
      </x:c>
      <x:c r="D386" t="str">
        <x:f>IF(A386="","",TEXT(A386,"dddd"))</x:f>
      </x:c>
      <x:c r="E386" s="24"/>
      <x:c r="F386" s="24"/>
      <x:c r="G386" s="32" t="n">
        <x:f>IF(AND(E386&lt;Settings!$B$11,F386&gt;Settings!$B$11),Settings!$B$12,0)</x:f>
        <x:v>0</x:v>
      </x:c>
      <x:c r="H386" s="32" t="n">
        <x:f>IF(AND(E386&lt;Settings!$B$13,F386&gt;Settings!$B$13),Settings!$B$14,0)</x:f>
        <x:v>0</x:v>
      </x:c>
      <x:c r="I386" s="32" t="str">
        <x:f>IF(A386="","",G386+H386)</x:f>
      </x:c>
      <x:c r="J386" s="22" t="str">
        <x:f>IF(A386="","",((F386-E386)*24)-(I386/60))</x:f>
      </x:c>
      <x:c r="K386" s="22" t="str">
        <x:f>IF(A386="","",MIN(J386,8))</x:f>
      </x:c>
      <x:c r="L386" s="22" t="str">
        <x:f>IF(A386="","",MAX(J386-8,0))</x:f>
      </x:c>
      <x:c r="M386" s="20" t="str">
        <x:f>IF(A386="","",K386*Settings!$B$5)</x:f>
      </x:c>
      <x:c r="N386" s="20" t="str">
        <x:f>IF(A386="","",L386*Settings!$B$6)</x:f>
      </x:c>
      <x:c r="O386" s="22"/>
      <x:c r="P386" s="22"/>
      <x:c r="Q386" s="22" t="str">
        <x:f>IF(A386="","",MAX(O386-Settings!$B$7,0))</x:f>
      </x:c>
      <x:c r="R386" s="20" t="str">
        <x:f>IF(A386="","",Q386*Settings!$B$8)</x:f>
      </x:c>
      <x:c r="S386" s="20" t="str">
        <x:f>IF(A386="","",M386+N386)</x:f>
      </x:c>
      <x:c r="T386" s="20" t="str">
        <x:f>IF(A386="","",S386+R386)</x:f>
      </x:c>
    </x:row>
    <x:row r="387">
      <x:c r="A387" s="26"/>
      <x:c r="B387" s="26" t="str">
        <x:f>IF(A387="","",A387-MOD(WEEKDAY(A387,2)-5,7))</x:f>
      </x:c>
      <x:c r="C387" s="26" t="str">
        <x:f>IF(B387="","",B387+7)</x:f>
      </x:c>
      <x:c r="D387" t="str">
        <x:f>IF(A387="","",TEXT(A387,"dddd"))</x:f>
      </x:c>
      <x:c r="E387" s="24"/>
      <x:c r="F387" s="24"/>
      <x:c r="G387" s="32" t="n">
        <x:f>IF(AND(E387&lt;Settings!$B$11,F387&gt;Settings!$B$11),Settings!$B$12,0)</x:f>
        <x:v>0</x:v>
      </x:c>
      <x:c r="H387" s="32" t="n">
        <x:f>IF(AND(E387&lt;Settings!$B$13,F387&gt;Settings!$B$13),Settings!$B$14,0)</x:f>
        <x:v>0</x:v>
      </x:c>
      <x:c r="I387" s="32" t="str">
        <x:f>IF(A387="","",G387+H387)</x:f>
      </x:c>
      <x:c r="J387" s="22" t="str">
        <x:f>IF(A387="","",((F387-E387)*24)-(I387/60))</x:f>
      </x:c>
      <x:c r="K387" s="22" t="str">
        <x:f>IF(A387="","",MIN(J387,8))</x:f>
      </x:c>
      <x:c r="L387" s="22" t="str">
        <x:f>IF(A387="","",MAX(J387-8,0))</x:f>
      </x:c>
      <x:c r="M387" s="20" t="str">
        <x:f>IF(A387="","",K387*Settings!$B$5)</x:f>
      </x:c>
      <x:c r="N387" s="20" t="str">
        <x:f>IF(A387="","",L387*Settings!$B$6)</x:f>
      </x:c>
      <x:c r="O387" s="22"/>
      <x:c r="P387" s="22"/>
      <x:c r="Q387" s="22" t="str">
        <x:f>IF(A387="","",MAX(O387-Settings!$B$7,0))</x:f>
      </x:c>
      <x:c r="R387" s="20" t="str">
        <x:f>IF(A387="","",Q387*Settings!$B$8)</x:f>
      </x:c>
      <x:c r="S387" s="20" t="str">
        <x:f>IF(A387="","",M387+N387)</x:f>
      </x:c>
      <x:c r="T387" s="20" t="str">
        <x:f>IF(A387="","",S387+R387)</x:f>
      </x:c>
    </x:row>
    <x:row r="388">
      <x:c r="A388" s="26"/>
      <x:c r="B388" s="26" t="str">
        <x:f>IF(A388="","",A388-MOD(WEEKDAY(A388,2)-5,7))</x:f>
      </x:c>
      <x:c r="C388" s="26" t="str">
        <x:f>IF(B388="","",B388+7)</x:f>
      </x:c>
      <x:c r="D388" t="str">
        <x:f>IF(A388="","",TEXT(A388,"dddd"))</x:f>
      </x:c>
      <x:c r="E388" s="24"/>
      <x:c r="F388" s="24"/>
      <x:c r="G388" s="32" t="n">
        <x:f>IF(AND(E388&lt;Settings!$B$11,F388&gt;Settings!$B$11),Settings!$B$12,0)</x:f>
        <x:v>0</x:v>
      </x:c>
      <x:c r="H388" s="32" t="n">
        <x:f>IF(AND(E388&lt;Settings!$B$13,F388&gt;Settings!$B$13),Settings!$B$14,0)</x:f>
        <x:v>0</x:v>
      </x:c>
      <x:c r="I388" s="32" t="str">
        <x:f>IF(A388="","",G388+H388)</x:f>
      </x:c>
      <x:c r="J388" s="22" t="str">
        <x:f>IF(A388="","",((F388-E388)*24)-(I388/60))</x:f>
      </x:c>
      <x:c r="K388" s="22" t="str">
        <x:f>IF(A388="","",MIN(J388,8))</x:f>
      </x:c>
      <x:c r="L388" s="22" t="str">
        <x:f>IF(A388="","",MAX(J388-8,0))</x:f>
      </x:c>
      <x:c r="M388" s="20" t="str">
        <x:f>IF(A388="","",K388*Settings!$B$5)</x:f>
      </x:c>
      <x:c r="N388" s="20" t="str">
        <x:f>IF(A388="","",L388*Settings!$B$6)</x:f>
      </x:c>
      <x:c r="O388" s="22"/>
      <x:c r="P388" s="22"/>
      <x:c r="Q388" s="22" t="str">
        <x:f>IF(A388="","",MAX(O388-Settings!$B$7,0))</x:f>
      </x:c>
      <x:c r="R388" s="20" t="str">
        <x:f>IF(A388="","",Q388*Settings!$B$8)</x:f>
      </x:c>
      <x:c r="S388" s="20" t="str">
        <x:f>IF(A388="","",M388+N388)</x:f>
      </x:c>
      <x:c r="T388" s="20" t="str">
        <x:f>IF(A388="","",S388+R388)</x:f>
      </x:c>
    </x:row>
    <x:row r="389">
      <x:c r="A389" s="26"/>
      <x:c r="B389" s="26" t="str">
        <x:f>IF(A389="","",A389-MOD(WEEKDAY(A389,2)-5,7))</x:f>
      </x:c>
      <x:c r="C389" s="26" t="str">
        <x:f>IF(B389="","",B389+7)</x:f>
      </x:c>
      <x:c r="D389" t="str">
        <x:f>IF(A389="","",TEXT(A389,"dddd"))</x:f>
      </x:c>
      <x:c r="E389" s="24"/>
      <x:c r="F389" s="24"/>
      <x:c r="G389" s="32" t="n">
        <x:f>IF(AND(E389&lt;Settings!$B$11,F389&gt;Settings!$B$11),Settings!$B$12,0)</x:f>
        <x:v>0</x:v>
      </x:c>
      <x:c r="H389" s="32" t="n">
        <x:f>IF(AND(E389&lt;Settings!$B$13,F389&gt;Settings!$B$13),Settings!$B$14,0)</x:f>
        <x:v>0</x:v>
      </x:c>
      <x:c r="I389" s="32" t="str">
        <x:f>IF(A389="","",G389+H389)</x:f>
      </x:c>
      <x:c r="J389" s="22" t="str">
        <x:f>IF(A389="","",((F389-E389)*24)-(I389/60))</x:f>
      </x:c>
      <x:c r="K389" s="22" t="str">
        <x:f>IF(A389="","",MIN(J389,8))</x:f>
      </x:c>
      <x:c r="L389" s="22" t="str">
        <x:f>IF(A389="","",MAX(J389-8,0))</x:f>
      </x:c>
      <x:c r="M389" s="20" t="str">
        <x:f>IF(A389="","",K389*Settings!$B$5)</x:f>
      </x:c>
      <x:c r="N389" s="20" t="str">
        <x:f>IF(A389="","",L389*Settings!$B$6)</x:f>
      </x:c>
      <x:c r="O389" s="22"/>
      <x:c r="P389" s="22"/>
      <x:c r="Q389" s="22" t="str">
        <x:f>IF(A389="","",MAX(O389-Settings!$B$7,0))</x:f>
      </x:c>
      <x:c r="R389" s="20" t="str">
        <x:f>IF(A389="","",Q389*Settings!$B$8)</x:f>
      </x:c>
      <x:c r="S389" s="20" t="str">
        <x:f>IF(A389="","",M389+N389)</x:f>
      </x:c>
      <x:c r="T389" s="20" t="str">
        <x:f>IF(A389="","",S389+R389)</x:f>
      </x:c>
    </x:row>
    <x:row r="390">
      <x:c r="A390" s="26"/>
      <x:c r="B390" s="26" t="str">
        <x:f>IF(A390="","",A390-MOD(WEEKDAY(A390,2)-5,7))</x:f>
      </x:c>
      <x:c r="C390" s="26" t="str">
        <x:f>IF(B390="","",B390+7)</x:f>
      </x:c>
      <x:c r="D390" t="str">
        <x:f>IF(A390="","",TEXT(A390,"dddd"))</x:f>
      </x:c>
      <x:c r="E390" s="24"/>
      <x:c r="F390" s="24"/>
      <x:c r="G390" s="32" t="n">
        <x:f>IF(AND(E390&lt;Settings!$B$11,F390&gt;Settings!$B$11),Settings!$B$12,0)</x:f>
        <x:v>0</x:v>
      </x:c>
      <x:c r="H390" s="32" t="n">
        <x:f>IF(AND(E390&lt;Settings!$B$13,F390&gt;Settings!$B$13),Settings!$B$14,0)</x:f>
        <x:v>0</x:v>
      </x:c>
      <x:c r="I390" s="32" t="str">
        <x:f>IF(A390="","",G390+H390)</x:f>
      </x:c>
      <x:c r="J390" s="22" t="str">
        <x:f>IF(A390="","",((F390-E390)*24)-(I390/60))</x:f>
      </x:c>
      <x:c r="K390" s="22" t="str">
        <x:f>IF(A390="","",MIN(J390,8))</x:f>
      </x:c>
      <x:c r="L390" s="22" t="str">
        <x:f>IF(A390="","",MAX(J390-8,0))</x:f>
      </x:c>
      <x:c r="M390" s="20" t="str">
        <x:f>IF(A390="","",K390*Settings!$B$5)</x:f>
      </x:c>
      <x:c r="N390" s="20" t="str">
        <x:f>IF(A390="","",L390*Settings!$B$6)</x:f>
      </x:c>
      <x:c r="O390" s="22"/>
      <x:c r="P390" s="22"/>
      <x:c r="Q390" s="22" t="str">
        <x:f>IF(A390="","",MAX(O390-Settings!$B$7,0))</x:f>
      </x:c>
      <x:c r="R390" s="20" t="str">
        <x:f>IF(A390="","",Q390*Settings!$B$8)</x:f>
      </x:c>
      <x:c r="S390" s="20" t="str">
        <x:f>IF(A390="","",M390+N390)</x:f>
      </x:c>
      <x:c r="T390" s="20" t="str">
        <x:f>IF(A390="","",S390+R390)</x:f>
      </x:c>
    </x:row>
    <x:row r="391">
      <x:c r="A391" s="26"/>
      <x:c r="B391" s="26" t="str">
        <x:f>IF(A391="","",A391-MOD(WEEKDAY(A391,2)-5,7))</x:f>
      </x:c>
      <x:c r="C391" s="26" t="str">
        <x:f>IF(B391="","",B391+7)</x:f>
      </x:c>
      <x:c r="D391" t="str">
        <x:f>IF(A391="","",TEXT(A391,"dddd"))</x:f>
      </x:c>
      <x:c r="E391" s="24"/>
      <x:c r="F391" s="24"/>
      <x:c r="G391" s="32" t="n">
        <x:f>IF(AND(E391&lt;Settings!$B$11,F391&gt;Settings!$B$11),Settings!$B$12,0)</x:f>
        <x:v>0</x:v>
      </x:c>
      <x:c r="H391" s="32" t="n">
        <x:f>IF(AND(E391&lt;Settings!$B$13,F391&gt;Settings!$B$13),Settings!$B$14,0)</x:f>
        <x:v>0</x:v>
      </x:c>
      <x:c r="I391" s="32" t="str">
        <x:f>IF(A391="","",G391+H391)</x:f>
      </x:c>
      <x:c r="J391" s="22" t="str">
        <x:f>IF(A391="","",((F391-E391)*24)-(I391/60))</x:f>
      </x:c>
      <x:c r="K391" s="22" t="str">
        <x:f>IF(A391="","",MIN(J391,8))</x:f>
      </x:c>
      <x:c r="L391" s="22" t="str">
        <x:f>IF(A391="","",MAX(J391-8,0))</x:f>
      </x:c>
      <x:c r="M391" s="20" t="str">
        <x:f>IF(A391="","",K391*Settings!$B$5)</x:f>
      </x:c>
      <x:c r="N391" s="20" t="str">
        <x:f>IF(A391="","",L391*Settings!$B$6)</x:f>
      </x:c>
      <x:c r="O391" s="22"/>
      <x:c r="P391" s="22"/>
      <x:c r="Q391" s="22" t="str">
        <x:f>IF(A391="","",MAX(O391-Settings!$B$7,0))</x:f>
      </x:c>
      <x:c r="R391" s="20" t="str">
        <x:f>IF(A391="","",Q391*Settings!$B$8)</x:f>
      </x:c>
      <x:c r="S391" s="20" t="str">
        <x:f>IF(A391="","",M391+N391)</x:f>
      </x:c>
      <x:c r="T391" s="20" t="str">
        <x:f>IF(A391="","",S391+R391)</x:f>
      </x:c>
    </x:row>
    <x:row r="392">
      <x:c r="A392" s="26"/>
      <x:c r="B392" s="26" t="str">
        <x:f>IF(A392="","",A392-MOD(WEEKDAY(A392,2)-5,7))</x:f>
      </x:c>
      <x:c r="C392" s="26" t="str">
        <x:f>IF(B392="","",B392+7)</x:f>
      </x:c>
      <x:c r="D392" t="str">
        <x:f>IF(A392="","",TEXT(A392,"dddd"))</x:f>
      </x:c>
      <x:c r="E392" s="24"/>
      <x:c r="F392" s="24"/>
      <x:c r="G392" s="32" t="n">
        <x:f>IF(AND(E392&lt;Settings!$B$11,F392&gt;Settings!$B$11),Settings!$B$12,0)</x:f>
        <x:v>0</x:v>
      </x:c>
      <x:c r="H392" s="32" t="n">
        <x:f>IF(AND(E392&lt;Settings!$B$13,F392&gt;Settings!$B$13),Settings!$B$14,0)</x:f>
        <x:v>0</x:v>
      </x:c>
      <x:c r="I392" s="32" t="str">
        <x:f>IF(A392="","",G392+H392)</x:f>
      </x:c>
      <x:c r="J392" s="22" t="str">
        <x:f>IF(A392="","",((F392-E392)*24)-(I392/60))</x:f>
      </x:c>
      <x:c r="K392" s="22" t="str">
        <x:f>IF(A392="","",MIN(J392,8))</x:f>
      </x:c>
      <x:c r="L392" s="22" t="str">
        <x:f>IF(A392="","",MAX(J392-8,0))</x:f>
      </x:c>
      <x:c r="M392" s="20" t="str">
        <x:f>IF(A392="","",K392*Settings!$B$5)</x:f>
      </x:c>
      <x:c r="N392" s="20" t="str">
        <x:f>IF(A392="","",L392*Settings!$B$6)</x:f>
      </x:c>
      <x:c r="O392" s="22"/>
      <x:c r="P392" s="22"/>
      <x:c r="Q392" s="22" t="str">
        <x:f>IF(A392="","",MAX(O392-Settings!$B$7,0))</x:f>
      </x:c>
      <x:c r="R392" s="20" t="str">
        <x:f>IF(A392="","",Q392*Settings!$B$8)</x:f>
      </x:c>
      <x:c r="S392" s="20" t="str">
        <x:f>IF(A392="","",M392+N392)</x:f>
      </x:c>
      <x:c r="T392" s="20" t="str">
        <x:f>IF(A392="","",S392+R392)</x:f>
      </x:c>
    </x:row>
    <x:row r="393">
      <x:c r="A393" s="26"/>
      <x:c r="B393" s="26" t="str">
        <x:f>IF(A393="","",A393-MOD(WEEKDAY(A393,2)-5,7))</x:f>
      </x:c>
      <x:c r="C393" s="26" t="str">
        <x:f>IF(B393="","",B393+7)</x:f>
      </x:c>
      <x:c r="D393" t="str">
        <x:f>IF(A393="","",TEXT(A393,"dddd"))</x:f>
      </x:c>
      <x:c r="E393" s="24"/>
      <x:c r="F393" s="24"/>
      <x:c r="G393" s="32" t="n">
        <x:f>IF(AND(E393&lt;Settings!$B$11,F393&gt;Settings!$B$11),Settings!$B$12,0)</x:f>
        <x:v>0</x:v>
      </x:c>
      <x:c r="H393" s="32" t="n">
        <x:f>IF(AND(E393&lt;Settings!$B$13,F393&gt;Settings!$B$13),Settings!$B$14,0)</x:f>
        <x:v>0</x:v>
      </x:c>
      <x:c r="I393" s="32" t="str">
        <x:f>IF(A393="","",G393+H393)</x:f>
      </x:c>
      <x:c r="J393" s="22" t="str">
        <x:f>IF(A393="","",((F393-E393)*24)-(I393/60))</x:f>
      </x:c>
      <x:c r="K393" s="22" t="str">
        <x:f>IF(A393="","",MIN(J393,8))</x:f>
      </x:c>
      <x:c r="L393" s="22" t="str">
        <x:f>IF(A393="","",MAX(J393-8,0))</x:f>
      </x:c>
      <x:c r="M393" s="20" t="str">
        <x:f>IF(A393="","",K393*Settings!$B$5)</x:f>
      </x:c>
      <x:c r="N393" s="20" t="str">
        <x:f>IF(A393="","",L393*Settings!$B$6)</x:f>
      </x:c>
      <x:c r="O393" s="22"/>
      <x:c r="P393" s="22"/>
      <x:c r="Q393" s="22" t="str">
        <x:f>IF(A393="","",MAX(O393-Settings!$B$7,0))</x:f>
      </x:c>
      <x:c r="R393" s="20" t="str">
        <x:f>IF(A393="","",Q393*Settings!$B$8)</x:f>
      </x:c>
      <x:c r="S393" s="20" t="str">
        <x:f>IF(A393="","",M393+N393)</x:f>
      </x:c>
      <x:c r="T393" s="20" t="str">
        <x:f>IF(A393="","",S393+R393)</x:f>
      </x:c>
    </x:row>
    <x:row r="394">
      <x:c r="A394" s="26"/>
      <x:c r="B394" s="26" t="str">
        <x:f>IF(A394="","",A394-MOD(WEEKDAY(A394,2)-5,7))</x:f>
      </x:c>
      <x:c r="C394" s="26" t="str">
        <x:f>IF(B394="","",B394+7)</x:f>
      </x:c>
      <x:c r="D394" t="str">
        <x:f>IF(A394="","",TEXT(A394,"dddd"))</x:f>
      </x:c>
      <x:c r="E394" s="24"/>
      <x:c r="F394" s="24"/>
      <x:c r="G394" s="32" t="n">
        <x:f>IF(AND(E394&lt;Settings!$B$11,F394&gt;Settings!$B$11),Settings!$B$12,0)</x:f>
        <x:v>0</x:v>
      </x:c>
      <x:c r="H394" s="32" t="n">
        <x:f>IF(AND(E394&lt;Settings!$B$13,F394&gt;Settings!$B$13),Settings!$B$14,0)</x:f>
        <x:v>0</x:v>
      </x:c>
      <x:c r="I394" s="32" t="str">
        <x:f>IF(A394="","",G394+H394)</x:f>
      </x:c>
      <x:c r="J394" s="22" t="str">
        <x:f>IF(A394="","",((F394-E394)*24)-(I394/60))</x:f>
      </x:c>
      <x:c r="K394" s="22" t="str">
        <x:f>IF(A394="","",MIN(J394,8))</x:f>
      </x:c>
      <x:c r="L394" s="22" t="str">
        <x:f>IF(A394="","",MAX(J394-8,0))</x:f>
      </x:c>
      <x:c r="M394" s="20" t="str">
        <x:f>IF(A394="","",K394*Settings!$B$5)</x:f>
      </x:c>
      <x:c r="N394" s="20" t="str">
        <x:f>IF(A394="","",L394*Settings!$B$6)</x:f>
      </x:c>
      <x:c r="O394" s="22"/>
      <x:c r="P394" s="22"/>
      <x:c r="Q394" s="22" t="str">
        <x:f>IF(A394="","",MAX(O394-Settings!$B$7,0))</x:f>
      </x:c>
      <x:c r="R394" s="20" t="str">
        <x:f>IF(A394="","",Q394*Settings!$B$8)</x:f>
      </x:c>
      <x:c r="S394" s="20" t="str">
        <x:f>IF(A394="","",M394+N394)</x:f>
      </x:c>
      <x:c r="T394" s="20" t="str">
        <x:f>IF(A394="","",S394+R394)</x:f>
      </x:c>
    </x:row>
    <x:row r="395">
      <x:c r="A395" s="26"/>
      <x:c r="B395" s="26" t="str">
        <x:f>IF(A395="","",A395-MOD(WEEKDAY(A395,2)-5,7))</x:f>
      </x:c>
      <x:c r="C395" s="26" t="str">
        <x:f>IF(B395="","",B395+7)</x:f>
      </x:c>
      <x:c r="D395" t="str">
        <x:f>IF(A395="","",TEXT(A395,"dddd"))</x:f>
      </x:c>
      <x:c r="E395" s="24"/>
      <x:c r="F395" s="24"/>
      <x:c r="G395" s="32" t="n">
        <x:f>IF(AND(E395&lt;Settings!$B$11,F395&gt;Settings!$B$11),Settings!$B$12,0)</x:f>
        <x:v>0</x:v>
      </x:c>
      <x:c r="H395" s="32" t="n">
        <x:f>IF(AND(E395&lt;Settings!$B$13,F395&gt;Settings!$B$13),Settings!$B$14,0)</x:f>
        <x:v>0</x:v>
      </x:c>
      <x:c r="I395" s="32" t="str">
        <x:f>IF(A395="","",G395+H395)</x:f>
      </x:c>
      <x:c r="J395" s="22" t="str">
        <x:f>IF(A395="","",((F395-E395)*24)-(I395/60))</x:f>
      </x:c>
      <x:c r="K395" s="22" t="str">
        <x:f>IF(A395="","",MIN(J395,8))</x:f>
      </x:c>
      <x:c r="L395" s="22" t="str">
        <x:f>IF(A395="","",MAX(J395-8,0))</x:f>
      </x:c>
      <x:c r="M395" s="20" t="str">
        <x:f>IF(A395="","",K395*Settings!$B$5)</x:f>
      </x:c>
      <x:c r="N395" s="20" t="str">
        <x:f>IF(A395="","",L395*Settings!$B$6)</x:f>
      </x:c>
      <x:c r="O395" s="22"/>
      <x:c r="P395" s="22"/>
      <x:c r="Q395" s="22" t="str">
        <x:f>IF(A395="","",MAX(O395-Settings!$B$7,0))</x:f>
      </x:c>
      <x:c r="R395" s="20" t="str">
        <x:f>IF(A395="","",Q395*Settings!$B$8)</x:f>
      </x:c>
      <x:c r="S395" s="20" t="str">
        <x:f>IF(A395="","",M395+N395)</x:f>
      </x:c>
      <x:c r="T395" s="20" t="str">
        <x:f>IF(A395="","",S395+R395)</x:f>
      </x:c>
    </x:row>
    <x:row r="396">
      <x:c r="A396" s="26"/>
      <x:c r="B396" s="26" t="str">
        <x:f>IF(A396="","",A396-MOD(WEEKDAY(A396,2)-5,7))</x:f>
      </x:c>
      <x:c r="C396" s="26" t="str">
        <x:f>IF(B396="","",B396+7)</x:f>
      </x:c>
      <x:c r="D396" t="str">
        <x:f>IF(A396="","",TEXT(A396,"dddd"))</x:f>
      </x:c>
      <x:c r="E396" s="24"/>
      <x:c r="F396" s="24"/>
      <x:c r="G396" s="32" t="n">
        <x:f>IF(AND(E396&lt;Settings!$B$11,F396&gt;Settings!$B$11),Settings!$B$12,0)</x:f>
        <x:v>0</x:v>
      </x:c>
      <x:c r="H396" s="32" t="n">
        <x:f>IF(AND(E396&lt;Settings!$B$13,F396&gt;Settings!$B$13),Settings!$B$14,0)</x:f>
        <x:v>0</x:v>
      </x:c>
      <x:c r="I396" s="32" t="str">
        <x:f>IF(A396="","",G396+H396)</x:f>
      </x:c>
      <x:c r="J396" s="22" t="str">
        <x:f>IF(A396="","",((F396-E396)*24)-(I396/60))</x:f>
      </x:c>
      <x:c r="K396" s="22" t="str">
        <x:f>IF(A396="","",MIN(J396,8))</x:f>
      </x:c>
      <x:c r="L396" s="22" t="str">
        <x:f>IF(A396="","",MAX(J396-8,0))</x:f>
      </x:c>
      <x:c r="M396" s="20" t="str">
        <x:f>IF(A396="","",K396*Settings!$B$5)</x:f>
      </x:c>
      <x:c r="N396" s="20" t="str">
        <x:f>IF(A396="","",L396*Settings!$B$6)</x:f>
      </x:c>
      <x:c r="O396" s="22"/>
      <x:c r="P396" s="22"/>
      <x:c r="Q396" s="22" t="str">
        <x:f>IF(A396="","",MAX(O396-Settings!$B$7,0))</x:f>
      </x:c>
      <x:c r="R396" s="20" t="str">
        <x:f>IF(A396="","",Q396*Settings!$B$8)</x:f>
      </x:c>
      <x:c r="S396" s="20" t="str">
        <x:f>IF(A396="","",M396+N396)</x:f>
      </x:c>
      <x:c r="T396" s="20" t="str">
        <x:f>IF(A396="","",S396+R396)</x:f>
      </x:c>
    </x:row>
    <x:row r="397">
      <x:c r="A397" s="26"/>
      <x:c r="B397" s="26" t="str">
        <x:f>IF(A397="","",A397-MOD(WEEKDAY(A397,2)-5,7))</x:f>
      </x:c>
      <x:c r="C397" s="26" t="str">
        <x:f>IF(B397="","",B397+7)</x:f>
      </x:c>
      <x:c r="D397" t="str">
        <x:f>IF(A397="","",TEXT(A397,"dddd"))</x:f>
      </x:c>
      <x:c r="E397" s="24"/>
      <x:c r="F397" s="24"/>
      <x:c r="G397" s="32" t="n">
        <x:f>IF(AND(E397&lt;Settings!$B$11,F397&gt;Settings!$B$11),Settings!$B$12,0)</x:f>
        <x:v>0</x:v>
      </x:c>
      <x:c r="H397" s="32" t="n">
        <x:f>IF(AND(E397&lt;Settings!$B$13,F397&gt;Settings!$B$13),Settings!$B$14,0)</x:f>
        <x:v>0</x:v>
      </x:c>
      <x:c r="I397" s="32" t="str">
        <x:f>IF(A397="","",G397+H397)</x:f>
      </x:c>
      <x:c r="J397" s="22" t="str">
        <x:f>IF(A397="","",((F397-E397)*24)-(I397/60))</x:f>
      </x:c>
      <x:c r="K397" s="22" t="str">
        <x:f>IF(A397="","",MIN(J397,8))</x:f>
      </x:c>
      <x:c r="L397" s="22" t="str">
        <x:f>IF(A397="","",MAX(J397-8,0))</x:f>
      </x:c>
      <x:c r="M397" s="20" t="str">
        <x:f>IF(A397="","",K397*Settings!$B$5)</x:f>
      </x:c>
      <x:c r="N397" s="20" t="str">
        <x:f>IF(A397="","",L397*Settings!$B$6)</x:f>
      </x:c>
      <x:c r="O397" s="22"/>
      <x:c r="P397" s="22"/>
      <x:c r="Q397" s="22" t="str">
        <x:f>IF(A397="","",MAX(O397-Settings!$B$7,0))</x:f>
      </x:c>
      <x:c r="R397" s="20" t="str">
        <x:f>IF(A397="","",Q397*Settings!$B$8)</x:f>
      </x:c>
      <x:c r="S397" s="20" t="str">
        <x:f>IF(A397="","",M397+N397)</x:f>
      </x:c>
      <x:c r="T397" s="20" t="str">
        <x:f>IF(A397="","",S397+R397)</x:f>
      </x:c>
    </x:row>
    <x:row r="398">
      <x:c r="A398" s="26"/>
      <x:c r="B398" s="26" t="str">
        <x:f>IF(A398="","",A398-MOD(WEEKDAY(A398,2)-5,7))</x:f>
      </x:c>
      <x:c r="C398" s="26" t="str">
        <x:f>IF(B398="","",B398+7)</x:f>
      </x:c>
      <x:c r="D398" t="str">
        <x:f>IF(A398="","",TEXT(A398,"dddd"))</x:f>
      </x:c>
      <x:c r="E398" s="24"/>
      <x:c r="F398" s="24"/>
      <x:c r="G398" s="32" t="n">
        <x:f>IF(AND(E398&lt;Settings!$B$11,F398&gt;Settings!$B$11),Settings!$B$12,0)</x:f>
        <x:v>0</x:v>
      </x:c>
      <x:c r="H398" s="32" t="n">
        <x:f>IF(AND(E398&lt;Settings!$B$13,F398&gt;Settings!$B$13),Settings!$B$14,0)</x:f>
        <x:v>0</x:v>
      </x:c>
      <x:c r="I398" s="32" t="str">
        <x:f>IF(A398="","",G398+H398)</x:f>
      </x:c>
      <x:c r="J398" s="22" t="str">
        <x:f>IF(A398="","",((F398-E398)*24)-(I398/60))</x:f>
      </x:c>
      <x:c r="K398" s="22" t="str">
        <x:f>IF(A398="","",MIN(J398,8))</x:f>
      </x:c>
      <x:c r="L398" s="22" t="str">
        <x:f>IF(A398="","",MAX(J398-8,0))</x:f>
      </x:c>
      <x:c r="M398" s="20" t="str">
        <x:f>IF(A398="","",K398*Settings!$B$5)</x:f>
      </x:c>
      <x:c r="N398" s="20" t="str">
        <x:f>IF(A398="","",L398*Settings!$B$6)</x:f>
      </x:c>
      <x:c r="O398" s="22"/>
      <x:c r="P398" s="22"/>
      <x:c r="Q398" s="22" t="str">
        <x:f>IF(A398="","",MAX(O398-Settings!$B$7,0))</x:f>
      </x:c>
      <x:c r="R398" s="20" t="str">
        <x:f>IF(A398="","",Q398*Settings!$B$8)</x:f>
      </x:c>
      <x:c r="S398" s="20" t="str">
        <x:f>IF(A398="","",M398+N398)</x:f>
      </x:c>
      <x:c r="T398" s="20" t="str">
        <x:f>IF(A398="","",S398+R398)</x:f>
      </x:c>
    </x:row>
    <x:row r="399">
      <x:c r="A399" s="26"/>
      <x:c r="B399" s="26" t="str">
        <x:f>IF(A399="","",A399-MOD(WEEKDAY(A399,2)-5,7))</x:f>
      </x:c>
      <x:c r="C399" s="26" t="str">
        <x:f>IF(B399="","",B399+7)</x:f>
      </x:c>
      <x:c r="D399" t="str">
        <x:f>IF(A399="","",TEXT(A399,"dddd"))</x:f>
      </x:c>
      <x:c r="E399" s="24"/>
      <x:c r="F399" s="24"/>
      <x:c r="G399" s="32" t="n">
        <x:f>IF(AND(E399&lt;Settings!$B$11,F399&gt;Settings!$B$11),Settings!$B$12,0)</x:f>
        <x:v>0</x:v>
      </x:c>
      <x:c r="H399" s="32" t="n">
        <x:f>IF(AND(E399&lt;Settings!$B$13,F399&gt;Settings!$B$13),Settings!$B$14,0)</x:f>
        <x:v>0</x:v>
      </x:c>
      <x:c r="I399" s="32" t="str">
        <x:f>IF(A399="","",G399+H399)</x:f>
      </x:c>
      <x:c r="J399" s="22" t="str">
        <x:f>IF(A399="","",((F399-E399)*24)-(I399/60))</x:f>
      </x:c>
      <x:c r="K399" s="22" t="str">
        <x:f>IF(A399="","",MIN(J399,8))</x:f>
      </x:c>
      <x:c r="L399" s="22" t="str">
        <x:f>IF(A399="","",MAX(J399-8,0))</x:f>
      </x:c>
      <x:c r="M399" s="20" t="str">
        <x:f>IF(A399="","",K399*Settings!$B$5)</x:f>
      </x:c>
      <x:c r="N399" s="20" t="str">
        <x:f>IF(A399="","",L399*Settings!$B$6)</x:f>
      </x:c>
      <x:c r="O399" s="22"/>
      <x:c r="P399" s="22"/>
      <x:c r="Q399" s="22" t="str">
        <x:f>IF(A399="","",MAX(O399-Settings!$B$7,0))</x:f>
      </x:c>
      <x:c r="R399" s="20" t="str">
        <x:f>IF(A399="","",Q399*Settings!$B$8)</x:f>
      </x:c>
      <x:c r="S399" s="20" t="str">
        <x:f>IF(A399="","",M399+N399)</x:f>
      </x:c>
      <x:c r="T399" s="20" t="str">
        <x:f>IF(A399="","",S399+R399)</x:f>
      </x:c>
    </x:row>
    <x:row r="400">
      <x:c r="A400" s="26"/>
      <x:c r="B400" s="26" t="str">
        <x:f>IF(A400="","",A400-MOD(WEEKDAY(A400,2)-5,7))</x:f>
      </x:c>
      <x:c r="C400" s="26" t="str">
        <x:f>IF(B400="","",B400+7)</x:f>
      </x:c>
      <x:c r="D400" t="str">
        <x:f>IF(A400="","",TEXT(A400,"dddd"))</x:f>
      </x:c>
      <x:c r="E400" s="24"/>
      <x:c r="F400" s="24"/>
      <x:c r="G400" s="32" t="n">
        <x:f>IF(AND(E400&lt;Settings!$B$11,F400&gt;Settings!$B$11),Settings!$B$12,0)</x:f>
        <x:v>0</x:v>
      </x:c>
      <x:c r="H400" s="32" t="n">
        <x:f>IF(AND(E400&lt;Settings!$B$13,F400&gt;Settings!$B$13),Settings!$B$14,0)</x:f>
        <x:v>0</x:v>
      </x:c>
      <x:c r="I400" s="32" t="str">
        <x:f>IF(A400="","",G400+H400)</x:f>
      </x:c>
      <x:c r="J400" s="22" t="str">
        <x:f>IF(A400="","",((F400-E400)*24)-(I400/60))</x:f>
      </x:c>
      <x:c r="K400" s="22" t="str">
        <x:f>IF(A400="","",MIN(J400,8))</x:f>
      </x:c>
      <x:c r="L400" s="22" t="str">
        <x:f>IF(A400="","",MAX(J400-8,0))</x:f>
      </x:c>
      <x:c r="M400" s="20" t="str">
        <x:f>IF(A400="","",K400*Settings!$B$5)</x:f>
      </x:c>
      <x:c r="N400" s="20" t="str">
        <x:f>IF(A400="","",L400*Settings!$B$6)</x:f>
      </x:c>
      <x:c r="O400" s="22"/>
      <x:c r="P400" s="22"/>
      <x:c r="Q400" s="22" t="str">
        <x:f>IF(A400="","",MAX(O400-Settings!$B$7,0))</x:f>
      </x:c>
      <x:c r="R400" s="20" t="str">
        <x:f>IF(A400="","",Q400*Settings!$B$8)</x:f>
      </x:c>
      <x:c r="S400" s="20" t="str">
        <x:f>IF(A400="","",M400+N400)</x:f>
      </x:c>
      <x:c r="T400" s="20" t="str">
        <x:f>IF(A400="","",S400+R400)</x:f>
      </x:c>
    </x:row>
    <x:row r="401">
      <x:c r="A401" s="26"/>
      <x:c r="B401" s="26" t="str">
        <x:f>IF(A401="","",A401-MOD(WEEKDAY(A401,2)-5,7))</x:f>
      </x:c>
      <x:c r="C401" s="26" t="str">
        <x:f>IF(B401="","",B401+7)</x:f>
      </x:c>
      <x:c r="D401" t="str">
        <x:f>IF(A401="","",TEXT(A401,"dddd"))</x:f>
      </x:c>
      <x:c r="E401" s="24"/>
      <x:c r="F401" s="24"/>
      <x:c r="G401" s="32" t="n">
        <x:f>IF(AND(E401&lt;Settings!$B$11,F401&gt;Settings!$B$11),Settings!$B$12,0)</x:f>
        <x:v>0</x:v>
      </x:c>
      <x:c r="H401" s="32" t="n">
        <x:f>IF(AND(E401&lt;Settings!$B$13,F401&gt;Settings!$B$13),Settings!$B$14,0)</x:f>
        <x:v>0</x:v>
      </x:c>
      <x:c r="I401" s="32" t="str">
        <x:f>IF(A401="","",G401+H401)</x:f>
      </x:c>
      <x:c r="J401" s="22" t="str">
        <x:f>IF(A401="","",((F401-E401)*24)-(I401/60))</x:f>
      </x:c>
      <x:c r="K401" s="22" t="str">
        <x:f>IF(A401="","",MIN(J401,8))</x:f>
      </x:c>
      <x:c r="L401" s="22" t="str">
        <x:f>IF(A401="","",MAX(J401-8,0))</x:f>
      </x:c>
      <x:c r="M401" s="20" t="str">
        <x:f>IF(A401="","",K401*Settings!$B$5)</x:f>
      </x:c>
      <x:c r="N401" s="20" t="str">
        <x:f>IF(A401="","",L401*Settings!$B$6)</x:f>
      </x:c>
      <x:c r="O401" s="22"/>
      <x:c r="P401" s="22"/>
      <x:c r="Q401" s="22" t="str">
        <x:f>IF(A401="","",MAX(O401-Settings!$B$7,0))</x:f>
      </x:c>
      <x:c r="R401" s="20" t="str">
        <x:f>IF(A401="","",Q401*Settings!$B$8)</x:f>
      </x:c>
      <x:c r="S401" s="20" t="str">
        <x:f>IF(A401="","",M401+N401)</x:f>
      </x:c>
      <x:c r="T401" s="20" t="str">
        <x:f>IF(A401="","",S401+R401)</x:f>
      </x:c>
    </x:row>
    <x:row r="402">
      <x:c r="A402" s="26"/>
      <x:c r="B402" s="26" t="str">
        <x:f>IF(A402="","",A402-MOD(WEEKDAY(A402,2)-5,7))</x:f>
      </x:c>
      <x:c r="C402" s="26" t="str">
        <x:f>IF(B402="","",B402+7)</x:f>
      </x:c>
      <x:c r="D402" t="str">
        <x:f>IF(A402="","",TEXT(A402,"dddd"))</x:f>
      </x:c>
      <x:c r="E402" s="24"/>
      <x:c r="F402" s="24"/>
      <x:c r="G402" s="32" t="n">
        <x:f>IF(AND(E402&lt;Settings!$B$11,F402&gt;Settings!$B$11),Settings!$B$12,0)</x:f>
        <x:v>0</x:v>
      </x:c>
      <x:c r="H402" s="32" t="n">
        <x:f>IF(AND(E402&lt;Settings!$B$13,F402&gt;Settings!$B$13),Settings!$B$14,0)</x:f>
        <x:v>0</x:v>
      </x:c>
      <x:c r="I402" s="32" t="str">
        <x:f>IF(A402="","",G402+H402)</x:f>
      </x:c>
      <x:c r="J402" s="22" t="str">
        <x:f>IF(A402="","",((F402-E402)*24)-(I402/60))</x:f>
      </x:c>
      <x:c r="K402" s="22" t="str">
        <x:f>IF(A402="","",MIN(J402,8))</x:f>
      </x:c>
      <x:c r="L402" s="22" t="str">
        <x:f>IF(A402="","",MAX(J402-8,0))</x:f>
      </x:c>
      <x:c r="M402" s="20" t="str">
        <x:f>IF(A402="","",K402*Settings!$B$5)</x:f>
      </x:c>
      <x:c r="N402" s="20" t="str">
        <x:f>IF(A402="","",L402*Settings!$B$6)</x:f>
      </x:c>
      <x:c r="O402" s="22"/>
      <x:c r="P402" s="22"/>
      <x:c r="Q402" s="22" t="str">
        <x:f>IF(A402="","",MAX(O402-Settings!$B$7,0))</x:f>
      </x:c>
      <x:c r="R402" s="20" t="str">
        <x:f>IF(A402="","",Q402*Settings!$B$8)</x:f>
      </x:c>
      <x:c r="S402" s="20" t="str">
        <x:f>IF(A402="","",M402+N402)</x:f>
      </x:c>
      <x:c r="T402" s="20" t="str">
        <x:f>IF(A402="","",S402+R402)</x:f>
      </x:c>
    </x:row>
    <x:row r="403">
      <x:c r="A403" s="26"/>
      <x:c r="B403" s="26" t="str">
        <x:f>IF(A403="","",A403-MOD(WEEKDAY(A403,2)-5,7))</x:f>
      </x:c>
      <x:c r="C403" s="26" t="str">
        <x:f>IF(B403="","",B403+7)</x:f>
      </x:c>
      <x:c r="D403" t="str">
        <x:f>IF(A403="","",TEXT(A403,"dddd"))</x:f>
      </x:c>
      <x:c r="E403" s="24"/>
      <x:c r="F403" s="24"/>
      <x:c r="G403" s="32" t="n">
        <x:f>IF(AND(E403&lt;Settings!$B$11,F403&gt;Settings!$B$11),Settings!$B$12,0)</x:f>
        <x:v>0</x:v>
      </x:c>
      <x:c r="H403" s="32" t="n">
        <x:f>IF(AND(E403&lt;Settings!$B$13,F403&gt;Settings!$B$13),Settings!$B$14,0)</x:f>
        <x:v>0</x:v>
      </x:c>
      <x:c r="I403" s="32" t="str">
        <x:f>IF(A403="","",G403+H403)</x:f>
      </x:c>
      <x:c r="J403" s="22" t="str">
        <x:f>IF(A403="","",((F403-E403)*24)-(I403/60))</x:f>
      </x:c>
      <x:c r="K403" s="22" t="str">
        <x:f>IF(A403="","",MIN(J403,8))</x:f>
      </x:c>
      <x:c r="L403" s="22" t="str">
        <x:f>IF(A403="","",MAX(J403-8,0))</x:f>
      </x:c>
      <x:c r="M403" s="20" t="str">
        <x:f>IF(A403="","",K403*Settings!$B$5)</x:f>
      </x:c>
      <x:c r="N403" s="20" t="str">
        <x:f>IF(A403="","",L403*Settings!$B$6)</x:f>
      </x:c>
      <x:c r="O403" s="22"/>
      <x:c r="P403" s="22"/>
      <x:c r="Q403" s="22" t="str">
        <x:f>IF(A403="","",MAX(O403-Settings!$B$7,0))</x:f>
      </x:c>
      <x:c r="R403" s="20" t="str">
        <x:f>IF(A403="","",Q403*Settings!$B$8)</x:f>
      </x:c>
      <x:c r="S403" s="20" t="str">
        <x:f>IF(A403="","",M403+N403)</x:f>
      </x:c>
      <x:c r="T403" s="20" t="str">
        <x:f>IF(A403="","",S403+R403)</x:f>
      </x:c>
    </x:row>
    <x:row r="404">
      <x:c r="A404" s="26"/>
      <x:c r="B404" s="26" t="str">
        <x:f>IF(A404="","",A404-MOD(WEEKDAY(A404,2)-5,7))</x:f>
      </x:c>
      <x:c r="C404" s="26" t="str">
        <x:f>IF(B404="","",B404+7)</x:f>
      </x:c>
      <x:c r="D404" t="str">
        <x:f>IF(A404="","",TEXT(A404,"dddd"))</x:f>
      </x:c>
      <x:c r="E404" s="24"/>
      <x:c r="F404" s="24"/>
      <x:c r="G404" s="32" t="n">
        <x:f>IF(AND(E404&lt;Settings!$B$11,F404&gt;Settings!$B$11),Settings!$B$12,0)</x:f>
        <x:v>0</x:v>
      </x:c>
      <x:c r="H404" s="32" t="n">
        <x:f>IF(AND(E404&lt;Settings!$B$13,F404&gt;Settings!$B$13),Settings!$B$14,0)</x:f>
        <x:v>0</x:v>
      </x:c>
      <x:c r="I404" s="32" t="str">
        <x:f>IF(A404="","",G404+H404)</x:f>
      </x:c>
      <x:c r="J404" s="22" t="str">
        <x:f>IF(A404="","",((F404-E404)*24)-(I404/60))</x:f>
      </x:c>
      <x:c r="K404" s="22" t="str">
        <x:f>IF(A404="","",MIN(J404,8))</x:f>
      </x:c>
      <x:c r="L404" s="22" t="str">
        <x:f>IF(A404="","",MAX(J404-8,0))</x:f>
      </x:c>
      <x:c r="M404" s="20" t="str">
        <x:f>IF(A404="","",K404*Settings!$B$5)</x:f>
      </x:c>
      <x:c r="N404" s="20" t="str">
        <x:f>IF(A404="","",L404*Settings!$B$6)</x:f>
      </x:c>
      <x:c r="O404" s="22"/>
      <x:c r="P404" s="22"/>
      <x:c r="Q404" s="22" t="str">
        <x:f>IF(A404="","",MAX(O404-Settings!$B$7,0))</x:f>
      </x:c>
      <x:c r="R404" s="20" t="str">
        <x:f>IF(A404="","",Q404*Settings!$B$8)</x:f>
      </x:c>
      <x:c r="S404" s="20" t="str">
        <x:f>IF(A404="","",M404+N404)</x:f>
      </x:c>
      <x:c r="T404" s="20" t="str">
        <x:f>IF(A404="","",S404+R404)</x:f>
      </x:c>
    </x:row>
    <x:row r="405">
      <x:c r="A405" s="26"/>
      <x:c r="B405" s="26" t="str">
        <x:f>IF(A405="","",A405-MOD(WEEKDAY(A405,2)-5,7))</x:f>
      </x:c>
      <x:c r="C405" s="26" t="str">
        <x:f>IF(B405="","",B405+7)</x:f>
      </x:c>
      <x:c r="D405" t="str">
        <x:f>IF(A405="","",TEXT(A405,"dddd"))</x:f>
      </x:c>
      <x:c r="E405" s="24"/>
      <x:c r="F405" s="24"/>
      <x:c r="G405" s="32" t="n">
        <x:f>IF(AND(E405&lt;Settings!$B$11,F405&gt;Settings!$B$11),Settings!$B$12,0)</x:f>
        <x:v>0</x:v>
      </x:c>
      <x:c r="H405" s="32" t="n">
        <x:f>IF(AND(E405&lt;Settings!$B$13,F405&gt;Settings!$B$13),Settings!$B$14,0)</x:f>
        <x:v>0</x:v>
      </x:c>
      <x:c r="I405" s="32" t="str">
        <x:f>IF(A405="","",G405+H405)</x:f>
      </x:c>
      <x:c r="J405" s="22" t="str">
        <x:f>IF(A405="","",((F405-E405)*24)-(I405/60))</x:f>
      </x:c>
      <x:c r="K405" s="22" t="str">
        <x:f>IF(A405="","",MIN(J405,8))</x:f>
      </x:c>
      <x:c r="L405" s="22" t="str">
        <x:f>IF(A405="","",MAX(J405-8,0))</x:f>
      </x:c>
      <x:c r="M405" s="20" t="str">
        <x:f>IF(A405="","",K405*Settings!$B$5)</x:f>
      </x:c>
      <x:c r="N405" s="20" t="str">
        <x:f>IF(A405="","",L405*Settings!$B$6)</x:f>
      </x:c>
      <x:c r="O405" s="22"/>
      <x:c r="P405" s="22"/>
      <x:c r="Q405" s="22" t="str">
        <x:f>IF(A405="","",MAX(O405-Settings!$B$7,0))</x:f>
      </x:c>
      <x:c r="R405" s="20" t="str">
        <x:f>IF(A405="","",Q405*Settings!$B$8)</x:f>
      </x:c>
      <x:c r="S405" s="20" t="str">
        <x:f>IF(A405="","",M405+N405)</x:f>
      </x:c>
      <x:c r="T405" s="20" t="str">
        <x:f>IF(A405="","",S405+R405)</x:f>
      </x:c>
    </x:row>
    <x:row r="406">
      <x:c r="A406" s="26"/>
      <x:c r="B406" s="26" t="str">
        <x:f>IF(A406="","",A406-MOD(WEEKDAY(A406,2)-5,7))</x:f>
      </x:c>
      <x:c r="C406" s="26" t="str">
        <x:f>IF(B406="","",B406+7)</x:f>
      </x:c>
      <x:c r="D406" t="str">
        <x:f>IF(A406="","",TEXT(A406,"dddd"))</x:f>
      </x:c>
      <x:c r="E406" s="24"/>
      <x:c r="F406" s="24"/>
      <x:c r="G406" s="32" t="n">
        <x:f>IF(AND(E406&lt;Settings!$B$11,F406&gt;Settings!$B$11),Settings!$B$12,0)</x:f>
        <x:v>0</x:v>
      </x:c>
      <x:c r="H406" s="32" t="n">
        <x:f>IF(AND(E406&lt;Settings!$B$13,F406&gt;Settings!$B$13),Settings!$B$14,0)</x:f>
        <x:v>0</x:v>
      </x:c>
      <x:c r="I406" s="32" t="str">
        <x:f>IF(A406="","",G406+H406)</x:f>
      </x:c>
      <x:c r="J406" s="22" t="str">
        <x:f>IF(A406="","",((F406-E406)*24)-(I406/60))</x:f>
      </x:c>
      <x:c r="K406" s="22" t="str">
        <x:f>IF(A406="","",MIN(J406,8))</x:f>
      </x:c>
      <x:c r="L406" s="22" t="str">
        <x:f>IF(A406="","",MAX(J406-8,0))</x:f>
      </x:c>
      <x:c r="M406" s="20" t="str">
        <x:f>IF(A406="","",K406*Settings!$B$5)</x:f>
      </x:c>
      <x:c r="N406" s="20" t="str">
        <x:f>IF(A406="","",L406*Settings!$B$6)</x:f>
      </x:c>
      <x:c r="O406" s="22"/>
      <x:c r="P406" s="22"/>
      <x:c r="Q406" s="22" t="str">
        <x:f>IF(A406="","",MAX(O406-Settings!$B$7,0))</x:f>
      </x:c>
      <x:c r="R406" s="20" t="str">
        <x:f>IF(A406="","",Q406*Settings!$B$8)</x:f>
      </x:c>
      <x:c r="S406" s="20" t="str">
        <x:f>IF(A406="","",M406+N406)</x:f>
      </x:c>
      <x:c r="T406" s="20" t="str">
        <x:f>IF(A406="","",S406+R406)</x:f>
      </x:c>
    </x:row>
    <x:row r="407">
      <x:c r="A407" s="26"/>
      <x:c r="B407" s="26" t="str">
        <x:f>IF(A407="","",A407-MOD(WEEKDAY(A407,2)-5,7))</x:f>
      </x:c>
      <x:c r="C407" s="26" t="str">
        <x:f>IF(B407="","",B407+7)</x:f>
      </x:c>
      <x:c r="D407" t="str">
        <x:f>IF(A407="","",TEXT(A407,"dddd"))</x:f>
      </x:c>
      <x:c r="E407" s="24"/>
      <x:c r="F407" s="24"/>
      <x:c r="G407" s="32" t="n">
        <x:f>IF(AND(E407&lt;Settings!$B$11,F407&gt;Settings!$B$11),Settings!$B$12,0)</x:f>
        <x:v>0</x:v>
      </x:c>
      <x:c r="H407" s="32" t="n">
        <x:f>IF(AND(E407&lt;Settings!$B$13,F407&gt;Settings!$B$13),Settings!$B$14,0)</x:f>
        <x:v>0</x:v>
      </x:c>
      <x:c r="I407" s="32" t="str">
        <x:f>IF(A407="","",G407+H407)</x:f>
      </x:c>
      <x:c r="J407" s="22" t="str">
        <x:f>IF(A407="","",((F407-E407)*24)-(I407/60))</x:f>
      </x:c>
      <x:c r="K407" s="22" t="str">
        <x:f>IF(A407="","",MIN(J407,8))</x:f>
      </x:c>
      <x:c r="L407" s="22" t="str">
        <x:f>IF(A407="","",MAX(J407-8,0))</x:f>
      </x:c>
      <x:c r="M407" s="20" t="str">
        <x:f>IF(A407="","",K407*Settings!$B$5)</x:f>
      </x:c>
      <x:c r="N407" s="20" t="str">
        <x:f>IF(A407="","",L407*Settings!$B$6)</x:f>
      </x:c>
      <x:c r="O407" s="22"/>
      <x:c r="P407" s="22"/>
      <x:c r="Q407" s="22" t="str">
        <x:f>IF(A407="","",MAX(O407-Settings!$B$7,0))</x:f>
      </x:c>
      <x:c r="R407" s="20" t="str">
        <x:f>IF(A407="","",Q407*Settings!$B$8)</x:f>
      </x:c>
      <x:c r="S407" s="20" t="str">
        <x:f>IF(A407="","",M407+N407)</x:f>
      </x:c>
      <x:c r="T407" s="20" t="str">
        <x:f>IF(A407="","",S407+R407)</x:f>
      </x:c>
    </x:row>
    <x:row r="408">
      <x:c r="A408" s="26"/>
      <x:c r="B408" s="26" t="str">
        <x:f>IF(A408="","",A408-MOD(WEEKDAY(A408,2)-5,7))</x:f>
      </x:c>
      <x:c r="C408" s="26" t="str">
        <x:f>IF(B408="","",B408+7)</x:f>
      </x:c>
      <x:c r="D408" t="str">
        <x:f>IF(A408="","",TEXT(A408,"dddd"))</x:f>
      </x:c>
      <x:c r="E408" s="24"/>
      <x:c r="F408" s="24"/>
      <x:c r="G408" s="32" t="n">
        <x:f>IF(AND(E408&lt;Settings!$B$11,F408&gt;Settings!$B$11),Settings!$B$12,0)</x:f>
        <x:v>0</x:v>
      </x:c>
      <x:c r="H408" s="32" t="n">
        <x:f>IF(AND(E408&lt;Settings!$B$13,F408&gt;Settings!$B$13),Settings!$B$14,0)</x:f>
        <x:v>0</x:v>
      </x:c>
      <x:c r="I408" s="32" t="str">
        <x:f>IF(A408="","",G408+H408)</x:f>
      </x:c>
      <x:c r="J408" s="22" t="str">
        <x:f>IF(A408="","",((F408-E408)*24)-(I408/60))</x:f>
      </x:c>
      <x:c r="K408" s="22" t="str">
        <x:f>IF(A408="","",MIN(J408,8))</x:f>
      </x:c>
      <x:c r="L408" s="22" t="str">
        <x:f>IF(A408="","",MAX(J408-8,0))</x:f>
      </x:c>
      <x:c r="M408" s="20" t="str">
        <x:f>IF(A408="","",K408*Settings!$B$5)</x:f>
      </x:c>
      <x:c r="N408" s="20" t="str">
        <x:f>IF(A408="","",L408*Settings!$B$6)</x:f>
      </x:c>
      <x:c r="O408" s="22"/>
      <x:c r="P408" s="22"/>
      <x:c r="Q408" s="22" t="str">
        <x:f>IF(A408="","",MAX(O408-Settings!$B$7,0))</x:f>
      </x:c>
      <x:c r="R408" s="20" t="str">
        <x:f>IF(A408="","",Q408*Settings!$B$8)</x:f>
      </x:c>
      <x:c r="S408" s="20" t="str">
        <x:f>IF(A408="","",M408+N408)</x:f>
      </x:c>
      <x:c r="T408" s="20" t="str">
        <x:f>IF(A408="","",S408+R408)</x:f>
      </x:c>
    </x:row>
    <x:row r="409">
      <x:c r="A409" s="26"/>
      <x:c r="B409" s="26" t="str">
        <x:f>IF(A409="","",A409-MOD(WEEKDAY(A409,2)-5,7))</x:f>
      </x:c>
      <x:c r="C409" s="26" t="str">
        <x:f>IF(B409="","",B409+7)</x:f>
      </x:c>
      <x:c r="D409" t="str">
        <x:f>IF(A409="","",TEXT(A409,"dddd"))</x:f>
      </x:c>
      <x:c r="E409" s="24"/>
      <x:c r="F409" s="24"/>
      <x:c r="G409" s="32" t="n">
        <x:f>IF(AND(E409&lt;Settings!$B$11,F409&gt;Settings!$B$11),Settings!$B$12,0)</x:f>
        <x:v>0</x:v>
      </x:c>
      <x:c r="H409" s="32" t="n">
        <x:f>IF(AND(E409&lt;Settings!$B$13,F409&gt;Settings!$B$13),Settings!$B$14,0)</x:f>
        <x:v>0</x:v>
      </x:c>
      <x:c r="I409" s="32" t="str">
        <x:f>IF(A409="","",G409+H409)</x:f>
      </x:c>
      <x:c r="J409" s="22" t="str">
        <x:f>IF(A409="","",((F409-E409)*24)-(I409/60))</x:f>
      </x:c>
      <x:c r="K409" s="22" t="str">
        <x:f>IF(A409="","",MIN(J409,8))</x:f>
      </x:c>
      <x:c r="L409" s="22" t="str">
        <x:f>IF(A409="","",MAX(J409-8,0))</x:f>
      </x:c>
      <x:c r="M409" s="20" t="str">
        <x:f>IF(A409="","",K409*Settings!$B$5)</x:f>
      </x:c>
      <x:c r="N409" s="20" t="str">
        <x:f>IF(A409="","",L409*Settings!$B$6)</x:f>
      </x:c>
      <x:c r="O409" s="22"/>
      <x:c r="P409" s="22"/>
      <x:c r="Q409" s="22" t="str">
        <x:f>IF(A409="","",MAX(O409-Settings!$B$7,0))</x:f>
      </x:c>
      <x:c r="R409" s="20" t="str">
        <x:f>IF(A409="","",Q409*Settings!$B$8)</x:f>
      </x:c>
      <x:c r="S409" s="20" t="str">
        <x:f>IF(A409="","",M409+N409)</x:f>
      </x:c>
      <x:c r="T409" s="20" t="str">
        <x:f>IF(A409="","",S409+R409)</x:f>
      </x:c>
    </x:row>
    <x:row r="410">
      <x:c r="A410" s="26"/>
      <x:c r="B410" s="26" t="str">
        <x:f>IF(A410="","",A410-MOD(WEEKDAY(A410,2)-5,7))</x:f>
      </x:c>
      <x:c r="C410" s="26" t="str">
        <x:f>IF(B410="","",B410+7)</x:f>
      </x:c>
      <x:c r="D410" t="str">
        <x:f>IF(A410="","",TEXT(A410,"dddd"))</x:f>
      </x:c>
      <x:c r="E410" s="24"/>
      <x:c r="F410" s="24"/>
      <x:c r="G410" s="32" t="n">
        <x:f>IF(AND(E410&lt;Settings!$B$11,F410&gt;Settings!$B$11),Settings!$B$12,0)</x:f>
        <x:v>0</x:v>
      </x:c>
      <x:c r="H410" s="32" t="n">
        <x:f>IF(AND(E410&lt;Settings!$B$13,F410&gt;Settings!$B$13),Settings!$B$14,0)</x:f>
        <x:v>0</x:v>
      </x:c>
      <x:c r="I410" s="32" t="str">
        <x:f>IF(A410="","",G410+H410)</x:f>
      </x:c>
      <x:c r="J410" s="22" t="str">
        <x:f>IF(A410="","",((F410-E410)*24)-(I410/60))</x:f>
      </x:c>
      <x:c r="K410" s="22" t="str">
        <x:f>IF(A410="","",MIN(J410,8))</x:f>
      </x:c>
      <x:c r="L410" s="22" t="str">
        <x:f>IF(A410="","",MAX(J410-8,0))</x:f>
      </x:c>
      <x:c r="M410" s="20" t="str">
        <x:f>IF(A410="","",K410*Settings!$B$5)</x:f>
      </x:c>
      <x:c r="N410" s="20" t="str">
        <x:f>IF(A410="","",L410*Settings!$B$6)</x:f>
      </x:c>
      <x:c r="O410" s="22"/>
      <x:c r="P410" s="22"/>
      <x:c r="Q410" s="22" t="str">
        <x:f>IF(A410="","",MAX(O410-Settings!$B$7,0))</x:f>
      </x:c>
      <x:c r="R410" s="20" t="str">
        <x:f>IF(A410="","",Q410*Settings!$B$8)</x:f>
      </x:c>
      <x:c r="S410" s="20" t="str">
        <x:f>IF(A410="","",M410+N410)</x:f>
      </x:c>
      <x:c r="T410" s="20" t="str">
        <x:f>IF(A410="","",S410+R410)</x:f>
      </x:c>
    </x:row>
    <x:row r="411">
      <x:c r="A411" s="26"/>
      <x:c r="B411" s="26" t="str">
        <x:f>IF(A411="","",A411-MOD(WEEKDAY(A411,2)-5,7))</x:f>
      </x:c>
      <x:c r="C411" s="26" t="str">
        <x:f>IF(B411="","",B411+7)</x:f>
      </x:c>
      <x:c r="D411" t="str">
        <x:f>IF(A411="","",TEXT(A411,"dddd"))</x:f>
      </x:c>
      <x:c r="E411" s="24"/>
      <x:c r="F411" s="24"/>
      <x:c r="G411" s="32" t="n">
        <x:f>IF(AND(E411&lt;Settings!$B$11,F411&gt;Settings!$B$11),Settings!$B$12,0)</x:f>
        <x:v>0</x:v>
      </x:c>
      <x:c r="H411" s="32" t="n">
        <x:f>IF(AND(E411&lt;Settings!$B$13,F411&gt;Settings!$B$13),Settings!$B$14,0)</x:f>
        <x:v>0</x:v>
      </x:c>
      <x:c r="I411" s="32" t="str">
        <x:f>IF(A411="","",G411+H411)</x:f>
      </x:c>
      <x:c r="J411" s="22" t="str">
        <x:f>IF(A411="","",((F411-E411)*24)-(I411/60))</x:f>
      </x:c>
      <x:c r="K411" s="22" t="str">
        <x:f>IF(A411="","",MIN(J411,8))</x:f>
      </x:c>
      <x:c r="L411" s="22" t="str">
        <x:f>IF(A411="","",MAX(J411-8,0))</x:f>
      </x:c>
      <x:c r="M411" s="20" t="str">
        <x:f>IF(A411="","",K411*Settings!$B$5)</x:f>
      </x:c>
      <x:c r="N411" s="20" t="str">
        <x:f>IF(A411="","",L411*Settings!$B$6)</x:f>
      </x:c>
      <x:c r="O411" s="22"/>
      <x:c r="P411" s="22"/>
      <x:c r="Q411" s="22" t="str">
        <x:f>IF(A411="","",MAX(O411-Settings!$B$7,0))</x:f>
      </x:c>
      <x:c r="R411" s="20" t="str">
        <x:f>IF(A411="","",Q411*Settings!$B$8)</x:f>
      </x:c>
      <x:c r="S411" s="20" t="str">
        <x:f>IF(A411="","",M411+N411)</x:f>
      </x:c>
      <x:c r="T411" s="20" t="str">
        <x:f>IF(A411="","",S411+R411)</x:f>
      </x:c>
    </x:row>
    <x:row r="412">
      <x:c r="A412" s="26"/>
      <x:c r="B412" s="26" t="str">
        <x:f>IF(A412="","",A412-MOD(WEEKDAY(A412,2)-5,7))</x:f>
      </x:c>
      <x:c r="C412" s="26" t="str">
        <x:f>IF(B412="","",B412+7)</x:f>
      </x:c>
      <x:c r="D412" t="str">
        <x:f>IF(A412="","",TEXT(A412,"dddd"))</x:f>
      </x:c>
      <x:c r="E412" s="24"/>
      <x:c r="F412" s="24"/>
      <x:c r="G412" s="32" t="n">
        <x:f>IF(AND(E412&lt;Settings!$B$11,F412&gt;Settings!$B$11),Settings!$B$12,0)</x:f>
        <x:v>0</x:v>
      </x:c>
      <x:c r="H412" s="32" t="n">
        <x:f>IF(AND(E412&lt;Settings!$B$13,F412&gt;Settings!$B$13),Settings!$B$14,0)</x:f>
        <x:v>0</x:v>
      </x:c>
      <x:c r="I412" s="32" t="str">
        <x:f>IF(A412="","",G412+H412)</x:f>
      </x:c>
      <x:c r="J412" s="22" t="str">
        <x:f>IF(A412="","",((F412-E412)*24)-(I412/60))</x:f>
      </x:c>
      <x:c r="K412" s="22" t="str">
        <x:f>IF(A412="","",MIN(J412,8))</x:f>
      </x:c>
      <x:c r="L412" s="22" t="str">
        <x:f>IF(A412="","",MAX(J412-8,0))</x:f>
      </x:c>
      <x:c r="M412" s="20" t="str">
        <x:f>IF(A412="","",K412*Settings!$B$5)</x:f>
      </x:c>
      <x:c r="N412" s="20" t="str">
        <x:f>IF(A412="","",L412*Settings!$B$6)</x:f>
      </x:c>
      <x:c r="O412" s="22"/>
      <x:c r="P412" s="22"/>
      <x:c r="Q412" s="22" t="str">
        <x:f>IF(A412="","",MAX(O412-Settings!$B$7,0))</x:f>
      </x:c>
      <x:c r="R412" s="20" t="str">
        <x:f>IF(A412="","",Q412*Settings!$B$8)</x:f>
      </x:c>
      <x:c r="S412" s="20" t="str">
        <x:f>IF(A412="","",M412+N412)</x:f>
      </x:c>
      <x:c r="T412" s="20" t="str">
        <x:f>IF(A412="","",S412+R412)</x:f>
      </x:c>
    </x:row>
    <x:row r="413">
      <x:c r="A413" s="26"/>
      <x:c r="B413" s="26" t="str">
        <x:f>IF(A413="","",A413-MOD(WEEKDAY(A413,2)-5,7))</x:f>
      </x:c>
      <x:c r="C413" s="26" t="str">
        <x:f>IF(B413="","",B413+7)</x:f>
      </x:c>
      <x:c r="D413" t="str">
        <x:f>IF(A413="","",TEXT(A413,"dddd"))</x:f>
      </x:c>
      <x:c r="E413" s="24"/>
      <x:c r="F413" s="24"/>
      <x:c r="G413" s="32" t="n">
        <x:f>IF(AND(E413&lt;Settings!$B$11,F413&gt;Settings!$B$11),Settings!$B$12,0)</x:f>
        <x:v>0</x:v>
      </x:c>
      <x:c r="H413" s="32" t="n">
        <x:f>IF(AND(E413&lt;Settings!$B$13,F413&gt;Settings!$B$13),Settings!$B$14,0)</x:f>
        <x:v>0</x:v>
      </x:c>
      <x:c r="I413" s="32" t="str">
        <x:f>IF(A413="","",G413+H413)</x:f>
      </x:c>
      <x:c r="J413" s="22" t="str">
        <x:f>IF(A413="","",((F413-E413)*24)-(I413/60))</x:f>
      </x:c>
      <x:c r="K413" s="22" t="str">
        <x:f>IF(A413="","",MIN(J413,8))</x:f>
      </x:c>
      <x:c r="L413" s="22" t="str">
        <x:f>IF(A413="","",MAX(J413-8,0))</x:f>
      </x:c>
      <x:c r="M413" s="20" t="str">
        <x:f>IF(A413="","",K413*Settings!$B$5)</x:f>
      </x:c>
      <x:c r="N413" s="20" t="str">
        <x:f>IF(A413="","",L413*Settings!$B$6)</x:f>
      </x:c>
      <x:c r="O413" s="22"/>
      <x:c r="P413" s="22"/>
      <x:c r="Q413" s="22" t="str">
        <x:f>IF(A413="","",MAX(O413-Settings!$B$7,0))</x:f>
      </x:c>
      <x:c r="R413" s="20" t="str">
        <x:f>IF(A413="","",Q413*Settings!$B$8)</x:f>
      </x:c>
      <x:c r="S413" s="20" t="str">
        <x:f>IF(A413="","",M413+N413)</x:f>
      </x:c>
      <x:c r="T413" s="20" t="str">
        <x:f>IF(A413="","",S413+R413)</x:f>
      </x:c>
    </x:row>
    <x:row r="414">
      <x:c r="A414" s="26"/>
      <x:c r="B414" s="26" t="str">
        <x:f>IF(A414="","",A414-MOD(WEEKDAY(A414,2)-5,7))</x:f>
      </x:c>
      <x:c r="C414" s="26" t="str">
        <x:f>IF(B414="","",B414+7)</x:f>
      </x:c>
      <x:c r="D414" t="str">
        <x:f>IF(A414="","",TEXT(A414,"dddd"))</x:f>
      </x:c>
      <x:c r="E414" s="24"/>
      <x:c r="F414" s="24"/>
      <x:c r="G414" s="32" t="n">
        <x:f>IF(AND(E414&lt;Settings!$B$11,F414&gt;Settings!$B$11),Settings!$B$12,0)</x:f>
        <x:v>0</x:v>
      </x:c>
      <x:c r="H414" s="32" t="n">
        <x:f>IF(AND(E414&lt;Settings!$B$13,F414&gt;Settings!$B$13),Settings!$B$14,0)</x:f>
        <x:v>0</x:v>
      </x:c>
      <x:c r="I414" s="32" t="str">
        <x:f>IF(A414="","",G414+H414)</x:f>
      </x:c>
      <x:c r="J414" s="22" t="str">
        <x:f>IF(A414="","",((F414-E414)*24)-(I414/60))</x:f>
      </x:c>
      <x:c r="K414" s="22" t="str">
        <x:f>IF(A414="","",MIN(J414,8))</x:f>
      </x:c>
      <x:c r="L414" s="22" t="str">
        <x:f>IF(A414="","",MAX(J414-8,0))</x:f>
      </x:c>
      <x:c r="M414" s="20" t="str">
        <x:f>IF(A414="","",K414*Settings!$B$5)</x:f>
      </x:c>
      <x:c r="N414" s="20" t="str">
        <x:f>IF(A414="","",L414*Settings!$B$6)</x:f>
      </x:c>
      <x:c r="O414" s="22"/>
      <x:c r="P414" s="22"/>
      <x:c r="Q414" s="22" t="str">
        <x:f>IF(A414="","",MAX(O414-Settings!$B$7,0))</x:f>
      </x:c>
      <x:c r="R414" s="20" t="str">
        <x:f>IF(A414="","",Q414*Settings!$B$8)</x:f>
      </x:c>
      <x:c r="S414" s="20" t="str">
        <x:f>IF(A414="","",M414+N414)</x:f>
      </x:c>
      <x:c r="T414" s="20" t="str">
        <x:f>IF(A414="","",S414+R414)</x:f>
      </x:c>
    </x:row>
    <x:row r="415">
      <x:c r="A415" s="26"/>
      <x:c r="B415" s="26" t="str">
        <x:f>IF(A415="","",A415-MOD(WEEKDAY(A415,2)-5,7))</x:f>
      </x:c>
      <x:c r="C415" s="26" t="str">
        <x:f>IF(B415="","",B415+7)</x:f>
      </x:c>
      <x:c r="D415" t="str">
        <x:f>IF(A415="","",TEXT(A415,"dddd"))</x:f>
      </x:c>
      <x:c r="E415" s="24"/>
      <x:c r="F415" s="24"/>
      <x:c r="G415" s="32" t="n">
        <x:f>IF(AND(E415&lt;Settings!$B$11,F415&gt;Settings!$B$11),Settings!$B$12,0)</x:f>
        <x:v>0</x:v>
      </x:c>
      <x:c r="H415" s="32" t="n">
        <x:f>IF(AND(E415&lt;Settings!$B$13,F415&gt;Settings!$B$13),Settings!$B$14,0)</x:f>
        <x:v>0</x:v>
      </x:c>
      <x:c r="I415" s="32" t="str">
        <x:f>IF(A415="","",G415+H415)</x:f>
      </x:c>
      <x:c r="J415" s="22" t="str">
        <x:f>IF(A415="","",((F415-E415)*24)-(I415/60))</x:f>
      </x:c>
      <x:c r="K415" s="22" t="str">
        <x:f>IF(A415="","",MIN(J415,8))</x:f>
      </x:c>
      <x:c r="L415" s="22" t="str">
        <x:f>IF(A415="","",MAX(J415-8,0))</x:f>
      </x:c>
      <x:c r="M415" s="20" t="str">
        <x:f>IF(A415="","",K415*Settings!$B$5)</x:f>
      </x:c>
      <x:c r="N415" s="20" t="str">
        <x:f>IF(A415="","",L415*Settings!$B$6)</x:f>
      </x:c>
      <x:c r="O415" s="22"/>
      <x:c r="P415" s="22"/>
      <x:c r="Q415" s="22" t="str">
        <x:f>IF(A415="","",MAX(O415-Settings!$B$7,0))</x:f>
      </x:c>
      <x:c r="R415" s="20" t="str">
        <x:f>IF(A415="","",Q415*Settings!$B$8)</x:f>
      </x:c>
      <x:c r="S415" s="20" t="str">
        <x:f>IF(A415="","",M415+N415)</x:f>
      </x:c>
      <x:c r="T415" s="20" t="str">
        <x:f>IF(A415="","",S415+R415)</x:f>
      </x:c>
    </x:row>
    <x:row r="416">
      <x:c r="A416" s="26"/>
      <x:c r="B416" s="26" t="str">
        <x:f>IF(A416="","",A416-MOD(WEEKDAY(A416,2)-5,7))</x:f>
      </x:c>
      <x:c r="C416" s="26" t="str">
        <x:f>IF(B416="","",B416+7)</x:f>
      </x:c>
      <x:c r="D416" t="str">
        <x:f>IF(A416="","",TEXT(A416,"dddd"))</x:f>
      </x:c>
      <x:c r="E416" s="24"/>
      <x:c r="F416" s="24"/>
      <x:c r="G416" s="32" t="n">
        <x:f>IF(AND(E416&lt;Settings!$B$11,F416&gt;Settings!$B$11),Settings!$B$12,0)</x:f>
        <x:v>0</x:v>
      </x:c>
      <x:c r="H416" s="32" t="n">
        <x:f>IF(AND(E416&lt;Settings!$B$13,F416&gt;Settings!$B$13),Settings!$B$14,0)</x:f>
        <x:v>0</x:v>
      </x:c>
      <x:c r="I416" s="32" t="str">
        <x:f>IF(A416="","",G416+H416)</x:f>
      </x:c>
      <x:c r="J416" s="22" t="str">
        <x:f>IF(A416="","",((F416-E416)*24)-(I416/60))</x:f>
      </x:c>
      <x:c r="K416" s="22" t="str">
        <x:f>IF(A416="","",MIN(J416,8))</x:f>
      </x:c>
      <x:c r="L416" s="22" t="str">
        <x:f>IF(A416="","",MAX(J416-8,0))</x:f>
      </x:c>
      <x:c r="M416" s="20" t="str">
        <x:f>IF(A416="","",K416*Settings!$B$5)</x:f>
      </x:c>
      <x:c r="N416" s="20" t="str">
        <x:f>IF(A416="","",L416*Settings!$B$6)</x:f>
      </x:c>
      <x:c r="O416" s="22"/>
      <x:c r="P416" s="22"/>
      <x:c r="Q416" s="22" t="str">
        <x:f>IF(A416="","",MAX(O416-Settings!$B$7,0))</x:f>
      </x:c>
      <x:c r="R416" s="20" t="str">
        <x:f>IF(A416="","",Q416*Settings!$B$8)</x:f>
      </x:c>
      <x:c r="S416" s="20" t="str">
        <x:f>IF(A416="","",M416+N416)</x:f>
      </x:c>
      <x:c r="T416" s="20" t="str">
        <x:f>IF(A416="","",S416+R416)</x:f>
      </x:c>
    </x:row>
    <x:row r="417">
      <x:c r="A417" s="26"/>
      <x:c r="B417" s="26" t="str">
        <x:f>IF(A417="","",A417-MOD(WEEKDAY(A417,2)-5,7))</x:f>
      </x:c>
      <x:c r="C417" s="26" t="str">
        <x:f>IF(B417="","",B417+7)</x:f>
      </x:c>
      <x:c r="D417" t="str">
        <x:f>IF(A417="","",TEXT(A417,"dddd"))</x:f>
      </x:c>
      <x:c r="E417" s="24"/>
      <x:c r="F417" s="24"/>
      <x:c r="G417" s="32" t="n">
        <x:f>IF(AND(E417&lt;Settings!$B$11,F417&gt;Settings!$B$11),Settings!$B$12,0)</x:f>
        <x:v>0</x:v>
      </x:c>
      <x:c r="H417" s="32" t="n">
        <x:f>IF(AND(E417&lt;Settings!$B$13,F417&gt;Settings!$B$13),Settings!$B$14,0)</x:f>
        <x:v>0</x:v>
      </x:c>
      <x:c r="I417" s="32" t="str">
        <x:f>IF(A417="","",G417+H417)</x:f>
      </x:c>
      <x:c r="J417" s="22" t="str">
        <x:f>IF(A417="","",((F417-E417)*24)-(I417/60))</x:f>
      </x:c>
      <x:c r="K417" s="22" t="str">
        <x:f>IF(A417="","",MIN(J417,8))</x:f>
      </x:c>
      <x:c r="L417" s="22" t="str">
        <x:f>IF(A417="","",MAX(J417-8,0))</x:f>
      </x:c>
      <x:c r="M417" s="20" t="str">
        <x:f>IF(A417="","",K417*Settings!$B$5)</x:f>
      </x:c>
      <x:c r="N417" s="20" t="str">
        <x:f>IF(A417="","",L417*Settings!$B$6)</x:f>
      </x:c>
      <x:c r="O417" s="22"/>
      <x:c r="P417" s="22"/>
      <x:c r="Q417" s="22" t="str">
        <x:f>IF(A417="","",MAX(O417-Settings!$B$7,0))</x:f>
      </x:c>
      <x:c r="R417" s="20" t="str">
        <x:f>IF(A417="","",Q417*Settings!$B$8)</x:f>
      </x:c>
      <x:c r="S417" s="20" t="str">
        <x:f>IF(A417="","",M417+N417)</x:f>
      </x:c>
      <x:c r="T417" s="20" t="str">
        <x:f>IF(A417="","",S417+R417)</x:f>
      </x:c>
    </x:row>
    <x:row r="418">
      <x:c r="A418" s="26"/>
      <x:c r="B418" s="26" t="str">
        <x:f>IF(A418="","",A418-MOD(WEEKDAY(A418,2)-5,7))</x:f>
      </x:c>
      <x:c r="C418" s="26" t="str">
        <x:f>IF(B418="","",B418+7)</x:f>
      </x:c>
      <x:c r="D418" t="str">
        <x:f>IF(A418="","",TEXT(A418,"dddd"))</x:f>
      </x:c>
      <x:c r="E418" s="24"/>
      <x:c r="F418" s="24"/>
      <x:c r="G418" s="32" t="n">
        <x:f>IF(AND(E418&lt;Settings!$B$11,F418&gt;Settings!$B$11),Settings!$B$12,0)</x:f>
        <x:v>0</x:v>
      </x:c>
      <x:c r="H418" s="32" t="n">
        <x:f>IF(AND(E418&lt;Settings!$B$13,F418&gt;Settings!$B$13),Settings!$B$14,0)</x:f>
        <x:v>0</x:v>
      </x:c>
      <x:c r="I418" s="32" t="str">
        <x:f>IF(A418="","",G418+H418)</x:f>
      </x:c>
      <x:c r="J418" s="22" t="str">
        <x:f>IF(A418="","",((F418-E418)*24)-(I418/60))</x:f>
      </x:c>
      <x:c r="K418" s="22" t="str">
        <x:f>IF(A418="","",MIN(J418,8))</x:f>
      </x:c>
      <x:c r="L418" s="22" t="str">
        <x:f>IF(A418="","",MAX(J418-8,0))</x:f>
      </x:c>
      <x:c r="M418" s="20" t="str">
        <x:f>IF(A418="","",K418*Settings!$B$5)</x:f>
      </x:c>
      <x:c r="N418" s="20" t="str">
        <x:f>IF(A418="","",L418*Settings!$B$6)</x:f>
      </x:c>
      <x:c r="O418" s="22"/>
      <x:c r="P418" s="22"/>
      <x:c r="Q418" s="22" t="str">
        <x:f>IF(A418="","",MAX(O418-Settings!$B$7,0))</x:f>
      </x:c>
      <x:c r="R418" s="20" t="str">
        <x:f>IF(A418="","",Q418*Settings!$B$8)</x:f>
      </x:c>
      <x:c r="S418" s="20" t="str">
        <x:f>IF(A418="","",M418+N418)</x:f>
      </x:c>
      <x:c r="T418" s="20" t="str">
        <x:f>IF(A418="","",S418+R418)</x:f>
      </x:c>
    </x:row>
    <x:row r="419">
      <x:c r="A419" s="26"/>
      <x:c r="B419" s="26" t="str">
        <x:f>IF(A419="","",A419-MOD(WEEKDAY(A419,2)-5,7))</x:f>
      </x:c>
      <x:c r="C419" s="26" t="str">
        <x:f>IF(B419="","",B419+7)</x:f>
      </x:c>
      <x:c r="D419" t="str">
        <x:f>IF(A419="","",TEXT(A419,"dddd"))</x:f>
      </x:c>
      <x:c r="E419" s="24"/>
      <x:c r="F419" s="24"/>
      <x:c r="G419" s="32" t="n">
        <x:f>IF(AND(E419&lt;Settings!$B$11,F419&gt;Settings!$B$11),Settings!$B$12,0)</x:f>
        <x:v>0</x:v>
      </x:c>
      <x:c r="H419" s="32" t="n">
        <x:f>IF(AND(E419&lt;Settings!$B$13,F419&gt;Settings!$B$13),Settings!$B$14,0)</x:f>
        <x:v>0</x:v>
      </x:c>
      <x:c r="I419" s="32" t="str">
        <x:f>IF(A419="","",G419+H419)</x:f>
      </x:c>
      <x:c r="J419" s="22" t="str">
        <x:f>IF(A419="","",((F419-E419)*24)-(I419/60))</x:f>
      </x:c>
      <x:c r="K419" s="22" t="str">
        <x:f>IF(A419="","",MIN(J419,8))</x:f>
      </x:c>
      <x:c r="L419" s="22" t="str">
        <x:f>IF(A419="","",MAX(J419-8,0))</x:f>
      </x:c>
      <x:c r="M419" s="20" t="str">
        <x:f>IF(A419="","",K419*Settings!$B$5)</x:f>
      </x:c>
      <x:c r="N419" s="20" t="str">
        <x:f>IF(A419="","",L419*Settings!$B$6)</x:f>
      </x:c>
      <x:c r="O419" s="22"/>
      <x:c r="P419" s="22"/>
      <x:c r="Q419" s="22" t="str">
        <x:f>IF(A419="","",MAX(O419-Settings!$B$7,0))</x:f>
      </x:c>
      <x:c r="R419" s="20" t="str">
        <x:f>IF(A419="","",Q419*Settings!$B$8)</x:f>
      </x:c>
      <x:c r="S419" s="20" t="str">
        <x:f>IF(A419="","",M419+N419)</x:f>
      </x:c>
      <x:c r="T419" s="20" t="str">
        <x:f>IF(A419="","",S419+R419)</x:f>
      </x:c>
    </x:row>
    <x:row r="420">
      <x:c r="A420" s="26"/>
      <x:c r="B420" s="26" t="str">
        <x:f>IF(A420="","",A420-MOD(WEEKDAY(A420,2)-5,7))</x:f>
      </x:c>
      <x:c r="C420" s="26" t="str">
        <x:f>IF(B420="","",B420+7)</x:f>
      </x:c>
      <x:c r="D420" t="str">
        <x:f>IF(A420="","",TEXT(A420,"dddd"))</x:f>
      </x:c>
      <x:c r="E420" s="24"/>
      <x:c r="F420" s="24"/>
      <x:c r="G420" s="32" t="n">
        <x:f>IF(AND(E420&lt;Settings!$B$11,F420&gt;Settings!$B$11),Settings!$B$12,0)</x:f>
        <x:v>0</x:v>
      </x:c>
      <x:c r="H420" s="32" t="n">
        <x:f>IF(AND(E420&lt;Settings!$B$13,F420&gt;Settings!$B$13),Settings!$B$14,0)</x:f>
        <x:v>0</x:v>
      </x:c>
      <x:c r="I420" s="32" t="str">
        <x:f>IF(A420="","",G420+H420)</x:f>
      </x:c>
      <x:c r="J420" s="22" t="str">
        <x:f>IF(A420="","",((F420-E420)*24)-(I420/60))</x:f>
      </x:c>
      <x:c r="K420" s="22" t="str">
        <x:f>IF(A420="","",MIN(J420,8))</x:f>
      </x:c>
      <x:c r="L420" s="22" t="str">
        <x:f>IF(A420="","",MAX(J420-8,0))</x:f>
      </x:c>
      <x:c r="M420" s="20" t="str">
        <x:f>IF(A420="","",K420*Settings!$B$5)</x:f>
      </x:c>
      <x:c r="N420" s="20" t="str">
        <x:f>IF(A420="","",L420*Settings!$B$6)</x:f>
      </x:c>
      <x:c r="O420" s="22"/>
      <x:c r="P420" s="22"/>
      <x:c r="Q420" s="22" t="str">
        <x:f>IF(A420="","",MAX(O420-Settings!$B$7,0))</x:f>
      </x:c>
      <x:c r="R420" s="20" t="str">
        <x:f>IF(A420="","",Q420*Settings!$B$8)</x:f>
      </x:c>
      <x:c r="S420" s="20" t="str">
        <x:f>IF(A420="","",M420+N420)</x:f>
      </x:c>
      <x:c r="T420" s="20" t="str">
        <x:f>IF(A420="","",S420+R420)</x:f>
      </x:c>
    </x:row>
    <x:row r="421">
      <x:c r="A421" s="26"/>
      <x:c r="B421" s="26" t="str">
        <x:f>IF(A421="","",A421-MOD(WEEKDAY(A421,2)-5,7))</x:f>
      </x:c>
      <x:c r="C421" s="26" t="str">
        <x:f>IF(B421="","",B421+7)</x:f>
      </x:c>
      <x:c r="D421" t="str">
        <x:f>IF(A421="","",TEXT(A421,"dddd"))</x:f>
      </x:c>
      <x:c r="E421" s="24"/>
      <x:c r="F421" s="24"/>
      <x:c r="G421" s="32" t="n">
        <x:f>IF(AND(E421&lt;Settings!$B$11,F421&gt;Settings!$B$11),Settings!$B$12,0)</x:f>
        <x:v>0</x:v>
      </x:c>
      <x:c r="H421" s="32" t="n">
        <x:f>IF(AND(E421&lt;Settings!$B$13,F421&gt;Settings!$B$13),Settings!$B$14,0)</x:f>
        <x:v>0</x:v>
      </x:c>
      <x:c r="I421" s="32" t="str">
        <x:f>IF(A421="","",G421+H421)</x:f>
      </x:c>
      <x:c r="J421" s="22" t="str">
        <x:f>IF(A421="","",((F421-E421)*24)-(I421/60))</x:f>
      </x:c>
      <x:c r="K421" s="22" t="str">
        <x:f>IF(A421="","",MIN(J421,8))</x:f>
      </x:c>
      <x:c r="L421" s="22" t="str">
        <x:f>IF(A421="","",MAX(J421-8,0))</x:f>
      </x:c>
      <x:c r="M421" s="20" t="str">
        <x:f>IF(A421="","",K421*Settings!$B$5)</x:f>
      </x:c>
      <x:c r="N421" s="20" t="str">
        <x:f>IF(A421="","",L421*Settings!$B$6)</x:f>
      </x:c>
      <x:c r="O421" s="22"/>
      <x:c r="P421" s="22"/>
      <x:c r="Q421" s="22" t="str">
        <x:f>IF(A421="","",MAX(O421-Settings!$B$7,0))</x:f>
      </x:c>
      <x:c r="R421" s="20" t="str">
        <x:f>IF(A421="","",Q421*Settings!$B$8)</x:f>
      </x:c>
      <x:c r="S421" s="20" t="str">
        <x:f>IF(A421="","",M421+N421)</x:f>
      </x:c>
      <x:c r="T421" s="20" t="str">
        <x:f>IF(A421="","",S421+R421)</x:f>
      </x:c>
    </x:row>
    <x:row r="422">
      <x:c r="A422" s="26"/>
      <x:c r="B422" s="26" t="str">
        <x:f>IF(A422="","",A422-MOD(WEEKDAY(A422,2)-5,7))</x:f>
      </x:c>
      <x:c r="C422" s="26" t="str">
        <x:f>IF(B422="","",B422+7)</x:f>
      </x:c>
      <x:c r="D422" t="str">
        <x:f>IF(A422="","",TEXT(A422,"dddd"))</x:f>
      </x:c>
      <x:c r="E422" s="24"/>
      <x:c r="F422" s="24"/>
      <x:c r="G422" s="32" t="n">
        <x:f>IF(AND(E422&lt;Settings!$B$11,F422&gt;Settings!$B$11),Settings!$B$12,0)</x:f>
        <x:v>0</x:v>
      </x:c>
      <x:c r="H422" s="32" t="n">
        <x:f>IF(AND(E422&lt;Settings!$B$13,F422&gt;Settings!$B$13),Settings!$B$14,0)</x:f>
        <x:v>0</x:v>
      </x:c>
      <x:c r="I422" s="32" t="str">
        <x:f>IF(A422="","",G422+H422)</x:f>
      </x:c>
      <x:c r="J422" s="22" t="str">
        <x:f>IF(A422="","",((F422-E422)*24)-(I422/60))</x:f>
      </x:c>
      <x:c r="K422" s="22" t="str">
        <x:f>IF(A422="","",MIN(J422,8))</x:f>
      </x:c>
      <x:c r="L422" s="22" t="str">
        <x:f>IF(A422="","",MAX(J422-8,0))</x:f>
      </x:c>
      <x:c r="M422" s="20" t="str">
        <x:f>IF(A422="","",K422*Settings!$B$5)</x:f>
      </x:c>
      <x:c r="N422" s="20" t="str">
        <x:f>IF(A422="","",L422*Settings!$B$6)</x:f>
      </x:c>
      <x:c r="O422" s="22"/>
      <x:c r="P422" s="22"/>
      <x:c r="Q422" s="22" t="str">
        <x:f>IF(A422="","",MAX(O422-Settings!$B$7,0))</x:f>
      </x:c>
      <x:c r="R422" s="20" t="str">
        <x:f>IF(A422="","",Q422*Settings!$B$8)</x:f>
      </x:c>
      <x:c r="S422" s="20" t="str">
        <x:f>IF(A422="","",M422+N422)</x:f>
      </x:c>
      <x:c r="T422" s="20" t="str">
        <x:f>IF(A422="","",S422+R422)</x:f>
      </x:c>
    </x:row>
    <x:row r="423">
      <x:c r="A423" s="26"/>
      <x:c r="B423" s="26" t="str">
        <x:f>IF(A423="","",A423-MOD(WEEKDAY(A423,2)-5,7))</x:f>
      </x:c>
      <x:c r="C423" s="26" t="str">
        <x:f>IF(B423="","",B423+7)</x:f>
      </x:c>
      <x:c r="D423" t="str">
        <x:f>IF(A423="","",TEXT(A423,"dddd"))</x:f>
      </x:c>
      <x:c r="E423" s="24"/>
      <x:c r="F423" s="24"/>
      <x:c r="G423" s="32" t="n">
        <x:f>IF(AND(E423&lt;Settings!$B$11,F423&gt;Settings!$B$11),Settings!$B$12,0)</x:f>
        <x:v>0</x:v>
      </x:c>
      <x:c r="H423" s="32" t="n">
        <x:f>IF(AND(E423&lt;Settings!$B$13,F423&gt;Settings!$B$13),Settings!$B$14,0)</x:f>
        <x:v>0</x:v>
      </x:c>
      <x:c r="I423" s="32" t="str">
        <x:f>IF(A423="","",G423+H423)</x:f>
      </x:c>
      <x:c r="J423" s="22" t="str">
        <x:f>IF(A423="","",((F423-E423)*24)-(I423/60))</x:f>
      </x:c>
      <x:c r="K423" s="22" t="str">
        <x:f>IF(A423="","",MIN(J423,8))</x:f>
      </x:c>
      <x:c r="L423" s="22" t="str">
        <x:f>IF(A423="","",MAX(J423-8,0))</x:f>
      </x:c>
      <x:c r="M423" s="20" t="str">
        <x:f>IF(A423="","",K423*Settings!$B$5)</x:f>
      </x:c>
      <x:c r="N423" s="20" t="str">
        <x:f>IF(A423="","",L423*Settings!$B$6)</x:f>
      </x:c>
      <x:c r="O423" s="22"/>
      <x:c r="P423" s="22"/>
      <x:c r="Q423" s="22" t="str">
        <x:f>IF(A423="","",MAX(O423-Settings!$B$7,0))</x:f>
      </x:c>
      <x:c r="R423" s="20" t="str">
        <x:f>IF(A423="","",Q423*Settings!$B$8)</x:f>
      </x:c>
      <x:c r="S423" s="20" t="str">
        <x:f>IF(A423="","",M423+N423)</x:f>
      </x:c>
      <x:c r="T423" s="20" t="str">
        <x:f>IF(A423="","",S423+R423)</x:f>
      </x:c>
    </x:row>
    <x:row r="424">
      <x:c r="A424" s="26"/>
      <x:c r="B424" s="26" t="str">
        <x:f>IF(A424="","",A424-MOD(WEEKDAY(A424,2)-5,7))</x:f>
      </x:c>
      <x:c r="C424" s="26" t="str">
        <x:f>IF(B424="","",B424+7)</x:f>
      </x:c>
      <x:c r="D424" t="str">
        <x:f>IF(A424="","",TEXT(A424,"dddd"))</x:f>
      </x:c>
      <x:c r="E424" s="24"/>
      <x:c r="F424" s="24"/>
      <x:c r="G424" s="32" t="n">
        <x:f>IF(AND(E424&lt;Settings!$B$11,F424&gt;Settings!$B$11),Settings!$B$12,0)</x:f>
        <x:v>0</x:v>
      </x:c>
      <x:c r="H424" s="32" t="n">
        <x:f>IF(AND(E424&lt;Settings!$B$13,F424&gt;Settings!$B$13),Settings!$B$14,0)</x:f>
        <x:v>0</x:v>
      </x:c>
      <x:c r="I424" s="32" t="str">
        <x:f>IF(A424="","",G424+H424)</x:f>
      </x:c>
      <x:c r="J424" s="22" t="str">
        <x:f>IF(A424="","",((F424-E424)*24)-(I424/60))</x:f>
      </x:c>
      <x:c r="K424" s="22" t="str">
        <x:f>IF(A424="","",MIN(J424,8))</x:f>
      </x:c>
      <x:c r="L424" s="22" t="str">
        <x:f>IF(A424="","",MAX(J424-8,0))</x:f>
      </x:c>
      <x:c r="M424" s="20" t="str">
        <x:f>IF(A424="","",K424*Settings!$B$5)</x:f>
      </x:c>
      <x:c r="N424" s="20" t="str">
        <x:f>IF(A424="","",L424*Settings!$B$6)</x:f>
      </x:c>
      <x:c r="O424" s="22"/>
      <x:c r="P424" s="22"/>
      <x:c r="Q424" s="22" t="str">
        <x:f>IF(A424="","",MAX(O424-Settings!$B$7,0))</x:f>
      </x:c>
      <x:c r="R424" s="20" t="str">
        <x:f>IF(A424="","",Q424*Settings!$B$8)</x:f>
      </x:c>
      <x:c r="S424" s="20" t="str">
        <x:f>IF(A424="","",M424+N424)</x:f>
      </x:c>
      <x:c r="T424" s="20" t="str">
        <x:f>IF(A424="","",S424+R424)</x:f>
      </x:c>
    </x:row>
    <x:row r="425">
      <x:c r="A425" s="26"/>
      <x:c r="B425" s="26" t="str">
        <x:f>IF(A425="","",A425-MOD(WEEKDAY(A425,2)-5,7))</x:f>
      </x:c>
      <x:c r="C425" s="26" t="str">
        <x:f>IF(B425="","",B425+7)</x:f>
      </x:c>
      <x:c r="D425" t="str">
        <x:f>IF(A425="","",TEXT(A425,"dddd"))</x:f>
      </x:c>
      <x:c r="E425" s="24"/>
      <x:c r="F425" s="24"/>
      <x:c r="G425" s="32" t="n">
        <x:f>IF(AND(E425&lt;Settings!$B$11,F425&gt;Settings!$B$11),Settings!$B$12,0)</x:f>
        <x:v>0</x:v>
      </x:c>
      <x:c r="H425" s="32" t="n">
        <x:f>IF(AND(E425&lt;Settings!$B$13,F425&gt;Settings!$B$13),Settings!$B$14,0)</x:f>
        <x:v>0</x:v>
      </x:c>
      <x:c r="I425" s="32" t="str">
        <x:f>IF(A425="","",G425+H425)</x:f>
      </x:c>
      <x:c r="J425" s="22" t="str">
        <x:f>IF(A425="","",((F425-E425)*24)-(I425/60))</x:f>
      </x:c>
      <x:c r="K425" s="22" t="str">
        <x:f>IF(A425="","",MIN(J425,8))</x:f>
      </x:c>
      <x:c r="L425" s="22" t="str">
        <x:f>IF(A425="","",MAX(J425-8,0))</x:f>
      </x:c>
      <x:c r="M425" s="20" t="str">
        <x:f>IF(A425="","",K425*Settings!$B$5)</x:f>
      </x:c>
      <x:c r="N425" s="20" t="str">
        <x:f>IF(A425="","",L425*Settings!$B$6)</x:f>
      </x:c>
      <x:c r="O425" s="22"/>
      <x:c r="P425" s="22"/>
      <x:c r="Q425" s="22" t="str">
        <x:f>IF(A425="","",MAX(O425-Settings!$B$7,0))</x:f>
      </x:c>
      <x:c r="R425" s="20" t="str">
        <x:f>IF(A425="","",Q425*Settings!$B$8)</x:f>
      </x:c>
      <x:c r="S425" s="20" t="str">
        <x:f>IF(A425="","",M425+N425)</x:f>
      </x:c>
      <x:c r="T425" s="20" t="str">
        <x:f>IF(A425="","",S425+R425)</x:f>
      </x:c>
    </x:row>
    <x:row r="426">
      <x:c r="A426" s="26"/>
      <x:c r="B426" s="26" t="str">
        <x:f>IF(A426="","",A426-MOD(WEEKDAY(A426,2)-5,7))</x:f>
      </x:c>
      <x:c r="C426" s="26" t="str">
        <x:f>IF(B426="","",B426+7)</x:f>
      </x:c>
      <x:c r="D426" t="str">
        <x:f>IF(A426="","",TEXT(A426,"dddd"))</x:f>
      </x:c>
      <x:c r="E426" s="24"/>
      <x:c r="F426" s="24"/>
      <x:c r="G426" s="32" t="n">
        <x:f>IF(AND(E426&lt;Settings!$B$11,F426&gt;Settings!$B$11),Settings!$B$12,0)</x:f>
        <x:v>0</x:v>
      </x:c>
      <x:c r="H426" s="32" t="n">
        <x:f>IF(AND(E426&lt;Settings!$B$13,F426&gt;Settings!$B$13),Settings!$B$14,0)</x:f>
        <x:v>0</x:v>
      </x:c>
      <x:c r="I426" s="32" t="str">
        <x:f>IF(A426="","",G426+H426)</x:f>
      </x:c>
      <x:c r="J426" s="22" t="str">
        <x:f>IF(A426="","",((F426-E426)*24)-(I426/60))</x:f>
      </x:c>
      <x:c r="K426" s="22" t="str">
        <x:f>IF(A426="","",MIN(J426,8))</x:f>
      </x:c>
      <x:c r="L426" s="22" t="str">
        <x:f>IF(A426="","",MAX(J426-8,0))</x:f>
      </x:c>
      <x:c r="M426" s="20" t="str">
        <x:f>IF(A426="","",K426*Settings!$B$5)</x:f>
      </x:c>
      <x:c r="N426" s="20" t="str">
        <x:f>IF(A426="","",L426*Settings!$B$6)</x:f>
      </x:c>
      <x:c r="O426" s="22"/>
      <x:c r="P426" s="22"/>
      <x:c r="Q426" s="22" t="str">
        <x:f>IF(A426="","",MAX(O426-Settings!$B$7,0))</x:f>
      </x:c>
      <x:c r="R426" s="20" t="str">
        <x:f>IF(A426="","",Q426*Settings!$B$8)</x:f>
      </x:c>
      <x:c r="S426" s="20" t="str">
        <x:f>IF(A426="","",M426+N426)</x:f>
      </x:c>
      <x:c r="T426" s="20" t="str">
        <x:f>IF(A426="","",S426+R426)</x:f>
      </x:c>
    </x:row>
    <x:row r="427">
      <x:c r="A427" s="26"/>
      <x:c r="B427" s="26" t="str">
        <x:f>IF(A427="","",A427-MOD(WEEKDAY(A427,2)-5,7))</x:f>
      </x:c>
      <x:c r="C427" s="26" t="str">
        <x:f>IF(B427="","",B427+7)</x:f>
      </x:c>
      <x:c r="D427" t="str">
        <x:f>IF(A427="","",TEXT(A427,"dddd"))</x:f>
      </x:c>
      <x:c r="E427" s="24"/>
      <x:c r="F427" s="24"/>
      <x:c r="G427" s="32" t="n">
        <x:f>IF(AND(E427&lt;Settings!$B$11,F427&gt;Settings!$B$11),Settings!$B$12,0)</x:f>
        <x:v>0</x:v>
      </x:c>
      <x:c r="H427" s="32" t="n">
        <x:f>IF(AND(E427&lt;Settings!$B$13,F427&gt;Settings!$B$13),Settings!$B$14,0)</x:f>
        <x:v>0</x:v>
      </x:c>
      <x:c r="I427" s="32" t="str">
        <x:f>IF(A427="","",G427+H427)</x:f>
      </x:c>
      <x:c r="J427" s="22" t="str">
        <x:f>IF(A427="","",((F427-E427)*24)-(I427/60))</x:f>
      </x:c>
      <x:c r="K427" s="22" t="str">
        <x:f>IF(A427="","",MIN(J427,8))</x:f>
      </x:c>
      <x:c r="L427" s="22" t="str">
        <x:f>IF(A427="","",MAX(J427-8,0))</x:f>
      </x:c>
      <x:c r="M427" s="20" t="str">
        <x:f>IF(A427="","",K427*Settings!$B$5)</x:f>
      </x:c>
      <x:c r="N427" s="20" t="str">
        <x:f>IF(A427="","",L427*Settings!$B$6)</x:f>
      </x:c>
      <x:c r="O427" s="22"/>
      <x:c r="P427" s="22"/>
      <x:c r="Q427" s="22" t="str">
        <x:f>IF(A427="","",MAX(O427-Settings!$B$7,0))</x:f>
      </x:c>
      <x:c r="R427" s="20" t="str">
        <x:f>IF(A427="","",Q427*Settings!$B$8)</x:f>
      </x:c>
      <x:c r="S427" s="20" t="str">
        <x:f>IF(A427="","",M427+N427)</x:f>
      </x:c>
      <x:c r="T427" s="20" t="str">
        <x:f>IF(A427="","",S427+R427)</x:f>
      </x:c>
    </x:row>
    <x:row r="428">
      <x:c r="A428" s="26"/>
      <x:c r="B428" s="26" t="str">
        <x:f>IF(A428="","",A428-MOD(WEEKDAY(A428,2)-5,7))</x:f>
      </x:c>
      <x:c r="C428" s="26" t="str">
        <x:f>IF(B428="","",B428+7)</x:f>
      </x:c>
      <x:c r="D428" t="str">
        <x:f>IF(A428="","",TEXT(A428,"dddd"))</x:f>
      </x:c>
      <x:c r="E428" s="24"/>
      <x:c r="F428" s="24"/>
      <x:c r="G428" s="32" t="n">
        <x:f>IF(AND(E428&lt;Settings!$B$11,F428&gt;Settings!$B$11),Settings!$B$12,0)</x:f>
        <x:v>0</x:v>
      </x:c>
      <x:c r="H428" s="32" t="n">
        <x:f>IF(AND(E428&lt;Settings!$B$13,F428&gt;Settings!$B$13),Settings!$B$14,0)</x:f>
        <x:v>0</x:v>
      </x:c>
      <x:c r="I428" s="32" t="str">
        <x:f>IF(A428="","",G428+H428)</x:f>
      </x:c>
      <x:c r="J428" s="22" t="str">
        <x:f>IF(A428="","",((F428-E428)*24)-(I428/60))</x:f>
      </x:c>
      <x:c r="K428" s="22" t="str">
        <x:f>IF(A428="","",MIN(J428,8))</x:f>
      </x:c>
      <x:c r="L428" s="22" t="str">
        <x:f>IF(A428="","",MAX(J428-8,0))</x:f>
      </x:c>
      <x:c r="M428" s="20" t="str">
        <x:f>IF(A428="","",K428*Settings!$B$5)</x:f>
      </x:c>
      <x:c r="N428" s="20" t="str">
        <x:f>IF(A428="","",L428*Settings!$B$6)</x:f>
      </x:c>
      <x:c r="O428" s="22"/>
      <x:c r="P428" s="22"/>
      <x:c r="Q428" s="22" t="str">
        <x:f>IF(A428="","",MAX(O428-Settings!$B$7,0))</x:f>
      </x:c>
      <x:c r="R428" s="20" t="str">
        <x:f>IF(A428="","",Q428*Settings!$B$8)</x:f>
      </x:c>
      <x:c r="S428" s="20" t="str">
        <x:f>IF(A428="","",M428+N428)</x:f>
      </x:c>
      <x:c r="T428" s="20" t="str">
        <x:f>IF(A428="","",S428+R428)</x:f>
      </x:c>
    </x:row>
    <x:row r="429">
      <x:c r="A429" s="26"/>
      <x:c r="B429" s="26" t="str">
        <x:f>IF(A429="","",A429-MOD(WEEKDAY(A429,2)-5,7))</x:f>
      </x:c>
      <x:c r="C429" s="26" t="str">
        <x:f>IF(B429="","",B429+7)</x:f>
      </x:c>
      <x:c r="D429" t="str">
        <x:f>IF(A429="","",TEXT(A429,"dddd"))</x:f>
      </x:c>
      <x:c r="E429" s="24"/>
      <x:c r="F429" s="24"/>
      <x:c r="G429" s="32" t="n">
        <x:f>IF(AND(E429&lt;Settings!$B$11,F429&gt;Settings!$B$11),Settings!$B$12,0)</x:f>
        <x:v>0</x:v>
      </x:c>
      <x:c r="H429" s="32" t="n">
        <x:f>IF(AND(E429&lt;Settings!$B$13,F429&gt;Settings!$B$13),Settings!$B$14,0)</x:f>
        <x:v>0</x:v>
      </x:c>
      <x:c r="I429" s="32" t="str">
        <x:f>IF(A429="","",G429+H429)</x:f>
      </x:c>
      <x:c r="J429" s="22" t="str">
        <x:f>IF(A429="","",((F429-E429)*24)-(I429/60))</x:f>
      </x:c>
      <x:c r="K429" s="22" t="str">
        <x:f>IF(A429="","",MIN(J429,8))</x:f>
      </x:c>
      <x:c r="L429" s="22" t="str">
        <x:f>IF(A429="","",MAX(J429-8,0))</x:f>
      </x:c>
      <x:c r="M429" s="20" t="str">
        <x:f>IF(A429="","",K429*Settings!$B$5)</x:f>
      </x:c>
      <x:c r="N429" s="20" t="str">
        <x:f>IF(A429="","",L429*Settings!$B$6)</x:f>
      </x:c>
      <x:c r="O429" s="22"/>
      <x:c r="P429" s="22"/>
      <x:c r="Q429" s="22" t="str">
        <x:f>IF(A429="","",MAX(O429-Settings!$B$7,0))</x:f>
      </x:c>
      <x:c r="R429" s="20" t="str">
        <x:f>IF(A429="","",Q429*Settings!$B$8)</x:f>
      </x:c>
      <x:c r="S429" s="20" t="str">
        <x:f>IF(A429="","",M429+N429)</x:f>
      </x:c>
      <x:c r="T429" s="20" t="str">
        <x:f>IF(A429="","",S429+R429)</x:f>
      </x:c>
    </x:row>
    <x:row r="430">
      <x:c r="A430" s="26"/>
      <x:c r="B430" s="26" t="str">
        <x:f>IF(A430="","",A430-MOD(WEEKDAY(A430,2)-5,7))</x:f>
      </x:c>
      <x:c r="C430" s="26" t="str">
        <x:f>IF(B430="","",B430+7)</x:f>
      </x:c>
      <x:c r="D430" t="str">
        <x:f>IF(A430="","",TEXT(A430,"dddd"))</x:f>
      </x:c>
      <x:c r="E430" s="24"/>
      <x:c r="F430" s="24"/>
      <x:c r="G430" s="32" t="n">
        <x:f>IF(AND(E430&lt;Settings!$B$11,F430&gt;Settings!$B$11),Settings!$B$12,0)</x:f>
        <x:v>0</x:v>
      </x:c>
      <x:c r="H430" s="32" t="n">
        <x:f>IF(AND(E430&lt;Settings!$B$13,F430&gt;Settings!$B$13),Settings!$B$14,0)</x:f>
        <x:v>0</x:v>
      </x:c>
      <x:c r="I430" s="32" t="str">
        <x:f>IF(A430="","",G430+H430)</x:f>
      </x:c>
      <x:c r="J430" s="22" t="str">
        <x:f>IF(A430="","",((F430-E430)*24)-(I430/60))</x:f>
      </x:c>
      <x:c r="K430" s="22" t="str">
        <x:f>IF(A430="","",MIN(J430,8))</x:f>
      </x:c>
      <x:c r="L430" s="22" t="str">
        <x:f>IF(A430="","",MAX(J430-8,0))</x:f>
      </x:c>
      <x:c r="M430" s="20" t="str">
        <x:f>IF(A430="","",K430*Settings!$B$5)</x:f>
      </x:c>
      <x:c r="N430" s="20" t="str">
        <x:f>IF(A430="","",L430*Settings!$B$6)</x:f>
      </x:c>
      <x:c r="O430" s="22"/>
      <x:c r="P430" s="22"/>
      <x:c r="Q430" s="22" t="str">
        <x:f>IF(A430="","",MAX(O430-Settings!$B$7,0))</x:f>
      </x:c>
      <x:c r="R430" s="20" t="str">
        <x:f>IF(A430="","",Q430*Settings!$B$8)</x:f>
      </x:c>
      <x:c r="S430" s="20" t="str">
        <x:f>IF(A430="","",M430+N430)</x:f>
      </x:c>
      <x:c r="T430" s="20" t="str">
        <x:f>IF(A430="","",S430+R430)</x:f>
      </x:c>
    </x:row>
    <x:row r="431">
      <x:c r="A431" s="26"/>
      <x:c r="B431" s="26" t="str">
        <x:f>IF(A431="","",A431-MOD(WEEKDAY(A431,2)-5,7))</x:f>
      </x:c>
      <x:c r="C431" s="26" t="str">
        <x:f>IF(B431="","",B431+7)</x:f>
      </x:c>
      <x:c r="D431" t="str">
        <x:f>IF(A431="","",TEXT(A431,"dddd"))</x:f>
      </x:c>
      <x:c r="E431" s="24"/>
      <x:c r="F431" s="24"/>
      <x:c r="G431" s="32" t="n">
        <x:f>IF(AND(E431&lt;Settings!$B$11,F431&gt;Settings!$B$11),Settings!$B$12,0)</x:f>
        <x:v>0</x:v>
      </x:c>
      <x:c r="H431" s="32" t="n">
        <x:f>IF(AND(E431&lt;Settings!$B$13,F431&gt;Settings!$B$13),Settings!$B$14,0)</x:f>
        <x:v>0</x:v>
      </x:c>
      <x:c r="I431" s="32" t="str">
        <x:f>IF(A431="","",G431+H431)</x:f>
      </x:c>
      <x:c r="J431" s="22" t="str">
        <x:f>IF(A431="","",((F431-E431)*24)-(I431/60))</x:f>
      </x:c>
      <x:c r="K431" s="22" t="str">
        <x:f>IF(A431="","",MIN(J431,8))</x:f>
      </x:c>
      <x:c r="L431" s="22" t="str">
        <x:f>IF(A431="","",MAX(J431-8,0))</x:f>
      </x:c>
      <x:c r="M431" s="20" t="str">
        <x:f>IF(A431="","",K431*Settings!$B$5)</x:f>
      </x:c>
      <x:c r="N431" s="20" t="str">
        <x:f>IF(A431="","",L431*Settings!$B$6)</x:f>
      </x:c>
      <x:c r="O431" s="22"/>
      <x:c r="P431" s="22"/>
      <x:c r="Q431" s="22" t="str">
        <x:f>IF(A431="","",MAX(O431-Settings!$B$7,0))</x:f>
      </x:c>
      <x:c r="R431" s="20" t="str">
        <x:f>IF(A431="","",Q431*Settings!$B$8)</x:f>
      </x:c>
      <x:c r="S431" s="20" t="str">
        <x:f>IF(A431="","",M431+N431)</x:f>
      </x:c>
      <x:c r="T431" s="20" t="str">
        <x:f>IF(A431="","",S431+R431)</x:f>
      </x:c>
    </x:row>
    <x:row r="432">
      <x:c r="A432" s="26"/>
      <x:c r="B432" s="26" t="str">
        <x:f>IF(A432="","",A432-MOD(WEEKDAY(A432,2)-5,7))</x:f>
      </x:c>
      <x:c r="C432" s="26" t="str">
        <x:f>IF(B432="","",B432+7)</x:f>
      </x:c>
      <x:c r="D432" t="str">
        <x:f>IF(A432="","",TEXT(A432,"dddd"))</x:f>
      </x:c>
      <x:c r="E432" s="24"/>
      <x:c r="F432" s="24"/>
      <x:c r="G432" s="32" t="n">
        <x:f>IF(AND(E432&lt;Settings!$B$11,F432&gt;Settings!$B$11),Settings!$B$12,0)</x:f>
        <x:v>0</x:v>
      </x:c>
      <x:c r="H432" s="32" t="n">
        <x:f>IF(AND(E432&lt;Settings!$B$13,F432&gt;Settings!$B$13),Settings!$B$14,0)</x:f>
        <x:v>0</x:v>
      </x:c>
      <x:c r="I432" s="32" t="str">
        <x:f>IF(A432="","",G432+H432)</x:f>
      </x:c>
      <x:c r="J432" s="22" t="str">
        <x:f>IF(A432="","",((F432-E432)*24)-(I432/60))</x:f>
      </x:c>
      <x:c r="K432" s="22" t="str">
        <x:f>IF(A432="","",MIN(J432,8))</x:f>
      </x:c>
      <x:c r="L432" s="22" t="str">
        <x:f>IF(A432="","",MAX(J432-8,0))</x:f>
      </x:c>
      <x:c r="M432" s="20" t="str">
        <x:f>IF(A432="","",K432*Settings!$B$5)</x:f>
      </x:c>
      <x:c r="N432" s="20" t="str">
        <x:f>IF(A432="","",L432*Settings!$B$6)</x:f>
      </x:c>
      <x:c r="O432" s="22"/>
      <x:c r="P432" s="22"/>
      <x:c r="Q432" s="22" t="str">
        <x:f>IF(A432="","",MAX(O432-Settings!$B$7,0))</x:f>
      </x:c>
      <x:c r="R432" s="20" t="str">
        <x:f>IF(A432="","",Q432*Settings!$B$8)</x:f>
      </x:c>
      <x:c r="S432" s="20" t="str">
        <x:f>IF(A432="","",M432+N432)</x:f>
      </x:c>
      <x:c r="T432" s="20" t="str">
        <x:f>IF(A432="","",S432+R432)</x:f>
      </x:c>
    </x:row>
    <x:row r="433">
      <x:c r="A433" s="26"/>
      <x:c r="B433" s="26" t="str">
        <x:f>IF(A433="","",A433-MOD(WEEKDAY(A433,2)-5,7))</x:f>
      </x:c>
      <x:c r="C433" s="26" t="str">
        <x:f>IF(B433="","",B433+7)</x:f>
      </x:c>
      <x:c r="D433" t="str">
        <x:f>IF(A433="","",TEXT(A433,"dddd"))</x:f>
      </x:c>
      <x:c r="E433" s="24"/>
      <x:c r="F433" s="24"/>
      <x:c r="G433" s="32" t="n">
        <x:f>IF(AND(E433&lt;Settings!$B$11,F433&gt;Settings!$B$11),Settings!$B$12,0)</x:f>
        <x:v>0</x:v>
      </x:c>
      <x:c r="H433" s="32" t="n">
        <x:f>IF(AND(E433&lt;Settings!$B$13,F433&gt;Settings!$B$13),Settings!$B$14,0)</x:f>
        <x:v>0</x:v>
      </x:c>
      <x:c r="I433" s="32" t="str">
        <x:f>IF(A433="","",G433+H433)</x:f>
      </x:c>
      <x:c r="J433" s="22" t="str">
        <x:f>IF(A433="","",((F433-E433)*24)-(I433/60))</x:f>
      </x:c>
      <x:c r="K433" s="22" t="str">
        <x:f>IF(A433="","",MIN(J433,8))</x:f>
      </x:c>
      <x:c r="L433" s="22" t="str">
        <x:f>IF(A433="","",MAX(J433-8,0))</x:f>
      </x:c>
      <x:c r="M433" s="20" t="str">
        <x:f>IF(A433="","",K433*Settings!$B$5)</x:f>
      </x:c>
      <x:c r="N433" s="20" t="str">
        <x:f>IF(A433="","",L433*Settings!$B$6)</x:f>
      </x:c>
      <x:c r="O433" s="22"/>
      <x:c r="P433" s="22"/>
      <x:c r="Q433" s="22" t="str">
        <x:f>IF(A433="","",MAX(O433-Settings!$B$7,0))</x:f>
      </x:c>
      <x:c r="R433" s="20" t="str">
        <x:f>IF(A433="","",Q433*Settings!$B$8)</x:f>
      </x:c>
      <x:c r="S433" s="20" t="str">
        <x:f>IF(A433="","",M433+N433)</x:f>
      </x:c>
      <x:c r="T433" s="20" t="str">
        <x:f>IF(A433="","",S433+R433)</x:f>
      </x:c>
    </x:row>
    <x:row r="434">
      <x:c r="A434" s="26"/>
      <x:c r="B434" s="26" t="str">
        <x:f>IF(A434="","",A434-MOD(WEEKDAY(A434,2)-5,7))</x:f>
      </x:c>
      <x:c r="C434" s="26" t="str">
        <x:f>IF(B434="","",B434+7)</x:f>
      </x:c>
      <x:c r="D434" t="str">
        <x:f>IF(A434="","",TEXT(A434,"dddd"))</x:f>
      </x:c>
      <x:c r="E434" s="24"/>
      <x:c r="F434" s="24"/>
      <x:c r="G434" s="32" t="n">
        <x:f>IF(AND(E434&lt;Settings!$B$11,F434&gt;Settings!$B$11),Settings!$B$12,0)</x:f>
        <x:v>0</x:v>
      </x:c>
      <x:c r="H434" s="32" t="n">
        <x:f>IF(AND(E434&lt;Settings!$B$13,F434&gt;Settings!$B$13),Settings!$B$14,0)</x:f>
        <x:v>0</x:v>
      </x:c>
      <x:c r="I434" s="32" t="str">
        <x:f>IF(A434="","",G434+H434)</x:f>
      </x:c>
      <x:c r="J434" s="22" t="str">
        <x:f>IF(A434="","",((F434-E434)*24)-(I434/60))</x:f>
      </x:c>
      <x:c r="K434" s="22" t="str">
        <x:f>IF(A434="","",MIN(J434,8))</x:f>
      </x:c>
      <x:c r="L434" s="22" t="str">
        <x:f>IF(A434="","",MAX(J434-8,0))</x:f>
      </x:c>
      <x:c r="M434" s="20" t="str">
        <x:f>IF(A434="","",K434*Settings!$B$5)</x:f>
      </x:c>
      <x:c r="N434" s="20" t="str">
        <x:f>IF(A434="","",L434*Settings!$B$6)</x:f>
      </x:c>
      <x:c r="O434" s="22"/>
      <x:c r="P434" s="22"/>
      <x:c r="Q434" s="22" t="str">
        <x:f>IF(A434="","",MAX(O434-Settings!$B$7,0))</x:f>
      </x:c>
      <x:c r="R434" s="20" t="str">
        <x:f>IF(A434="","",Q434*Settings!$B$8)</x:f>
      </x:c>
      <x:c r="S434" s="20" t="str">
        <x:f>IF(A434="","",M434+N434)</x:f>
      </x:c>
      <x:c r="T434" s="20" t="str">
        <x:f>IF(A434="","",S434+R434)</x:f>
      </x:c>
    </x:row>
    <x:row r="435">
      <x:c r="A435" s="26"/>
      <x:c r="B435" s="26" t="str">
        <x:f>IF(A435="","",A435-MOD(WEEKDAY(A435,2)-5,7))</x:f>
      </x:c>
      <x:c r="C435" s="26" t="str">
        <x:f>IF(B435="","",B435+7)</x:f>
      </x:c>
      <x:c r="D435" t="str">
        <x:f>IF(A435="","",TEXT(A435,"dddd"))</x:f>
      </x:c>
      <x:c r="E435" s="24"/>
      <x:c r="F435" s="24"/>
      <x:c r="G435" s="32" t="n">
        <x:f>IF(AND(E435&lt;Settings!$B$11,F435&gt;Settings!$B$11),Settings!$B$12,0)</x:f>
        <x:v>0</x:v>
      </x:c>
      <x:c r="H435" s="32" t="n">
        <x:f>IF(AND(E435&lt;Settings!$B$13,F435&gt;Settings!$B$13),Settings!$B$14,0)</x:f>
        <x:v>0</x:v>
      </x:c>
      <x:c r="I435" s="32" t="str">
        <x:f>IF(A435="","",G435+H435)</x:f>
      </x:c>
      <x:c r="J435" s="22" t="str">
        <x:f>IF(A435="","",((F435-E435)*24)-(I435/60))</x:f>
      </x:c>
      <x:c r="K435" s="22" t="str">
        <x:f>IF(A435="","",MIN(J435,8))</x:f>
      </x:c>
      <x:c r="L435" s="22" t="str">
        <x:f>IF(A435="","",MAX(J435-8,0))</x:f>
      </x:c>
      <x:c r="M435" s="20" t="str">
        <x:f>IF(A435="","",K435*Settings!$B$5)</x:f>
      </x:c>
      <x:c r="N435" s="20" t="str">
        <x:f>IF(A435="","",L435*Settings!$B$6)</x:f>
      </x:c>
      <x:c r="O435" s="22"/>
      <x:c r="P435" s="22"/>
      <x:c r="Q435" s="22" t="str">
        <x:f>IF(A435="","",MAX(O435-Settings!$B$7,0))</x:f>
      </x:c>
      <x:c r="R435" s="20" t="str">
        <x:f>IF(A435="","",Q435*Settings!$B$8)</x:f>
      </x:c>
      <x:c r="S435" s="20" t="str">
        <x:f>IF(A435="","",M435+N435)</x:f>
      </x:c>
      <x:c r="T435" s="20" t="str">
        <x:f>IF(A435="","",S435+R435)</x:f>
      </x:c>
    </x:row>
    <x:row r="436">
      <x:c r="A436" s="26"/>
      <x:c r="B436" s="26" t="str">
        <x:f>IF(A436="","",A436-MOD(WEEKDAY(A436,2)-5,7))</x:f>
      </x:c>
      <x:c r="C436" s="26" t="str">
        <x:f>IF(B436="","",B436+7)</x:f>
      </x:c>
      <x:c r="D436" t="str">
        <x:f>IF(A436="","",TEXT(A436,"dddd"))</x:f>
      </x:c>
      <x:c r="E436" s="24"/>
      <x:c r="F436" s="24"/>
      <x:c r="G436" s="32" t="n">
        <x:f>IF(AND(E436&lt;Settings!$B$11,F436&gt;Settings!$B$11),Settings!$B$12,0)</x:f>
        <x:v>0</x:v>
      </x:c>
      <x:c r="H436" s="32" t="n">
        <x:f>IF(AND(E436&lt;Settings!$B$13,F436&gt;Settings!$B$13),Settings!$B$14,0)</x:f>
        <x:v>0</x:v>
      </x:c>
      <x:c r="I436" s="32" t="str">
        <x:f>IF(A436="","",G436+H436)</x:f>
      </x:c>
      <x:c r="J436" s="22" t="str">
        <x:f>IF(A436="","",((F436-E436)*24)-(I436/60))</x:f>
      </x:c>
      <x:c r="K436" s="22" t="str">
        <x:f>IF(A436="","",MIN(J436,8))</x:f>
      </x:c>
      <x:c r="L436" s="22" t="str">
        <x:f>IF(A436="","",MAX(J436-8,0))</x:f>
      </x:c>
      <x:c r="M436" s="20" t="str">
        <x:f>IF(A436="","",K436*Settings!$B$5)</x:f>
      </x:c>
      <x:c r="N436" s="20" t="str">
        <x:f>IF(A436="","",L436*Settings!$B$6)</x:f>
      </x:c>
      <x:c r="O436" s="22"/>
      <x:c r="P436" s="22"/>
      <x:c r="Q436" s="22" t="str">
        <x:f>IF(A436="","",MAX(O436-Settings!$B$7,0))</x:f>
      </x:c>
      <x:c r="R436" s="20" t="str">
        <x:f>IF(A436="","",Q436*Settings!$B$8)</x:f>
      </x:c>
      <x:c r="S436" s="20" t="str">
        <x:f>IF(A436="","",M436+N436)</x:f>
      </x:c>
      <x:c r="T436" s="20" t="str">
        <x:f>IF(A436="","",S436+R436)</x:f>
      </x:c>
    </x:row>
    <x:row r="437">
      <x:c r="A437" s="26"/>
      <x:c r="B437" s="26" t="str">
        <x:f>IF(A437="","",A437-MOD(WEEKDAY(A437,2)-5,7))</x:f>
      </x:c>
      <x:c r="C437" s="26" t="str">
        <x:f>IF(B437="","",B437+7)</x:f>
      </x:c>
      <x:c r="D437" t="str">
        <x:f>IF(A437="","",TEXT(A437,"dddd"))</x:f>
      </x:c>
      <x:c r="E437" s="24"/>
      <x:c r="F437" s="24"/>
      <x:c r="G437" s="32" t="n">
        <x:f>IF(AND(E437&lt;Settings!$B$11,F437&gt;Settings!$B$11),Settings!$B$12,0)</x:f>
        <x:v>0</x:v>
      </x:c>
      <x:c r="H437" s="32" t="n">
        <x:f>IF(AND(E437&lt;Settings!$B$13,F437&gt;Settings!$B$13),Settings!$B$14,0)</x:f>
        <x:v>0</x:v>
      </x:c>
      <x:c r="I437" s="32" t="str">
        <x:f>IF(A437="","",G437+H437)</x:f>
      </x:c>
      <x:c r="J437" s="22" t="str">
        <x:f>IF(A437="","",((F437-E437)*24)-(I437/60))</x:f>
      </x:c>
      <x:c r="K437" s="22" t="str">
        <x:f>IF(A437="","",MIN(J437,8))</x:f>
      </x:c>
      <x:c r="L437" s="22" t="str">
        <x:f>IF(A437="","",MAX(J437-8,0))</x:f>
      </x:c>
      <x:c r="M437" s="20" t="str">
        <x:f>IF(A437="","",K437*Settings!$B$5)</x:f>
      </x:c>
      <x:c r="N437" s="20" t="str">
        <x:f>IF(A437="","",L437*Settings!$B$6)</x:f>
      </x:c>
      <x:c r="O437" s="22"/>
      <x:c r="P437" s="22"/>
      <x:c r="Q437" s="22" t="str">
        <x:f>IF(A437="","",MAX(O437-Settings!$B$7,0))</x:f>
      </x:c>
      <x:c r="R437" s="20" t="str">
        <x:f>IF(A437="","",Q437*Settings!$B$8)</x:f>
      </x:c>
      <x:c r="S437" s="20" t="str">
        <x:f>IF(A437="","",M437+N437)</x:f>
      </x:c>
      <x:c r="T437" s="20" t="str">
        <x:f>IF(A437="","",S437+R437)</x:f>
      </x:c>
    </x:row>
    <x:row r="438">
      <x:c r="A438" s="26"/>
      <x:c r="B438" s="26" t="str">
        <x:f>IF(A438="","",A438-MOD(WEEKDAY(A438,2)-5,7))</x:f>
      </x:c>
      <x:c r="C438" s="26" t="str">
        <x:f>IF(B438="","",B438+7)</x:f>
      </x:c>
      <x:c r="D438" t="str">
        <x:f>IF(A438="","",TEXT(A438,"dddd"))</x:f>
      </x:c>
      <x:c r="E438" s="24"/>
      <x:c r="F438" s="24"/>
      <x:c r="G438" s="32" t="n">
        <x:f>IF(AND(E438&lt;Settings!$B$11,F438&gt;Settings!$B$11),Settings!$B$12,0)</x:f>
        <x:v>0</x:v>
      </x:c>
      <x:c r="H438" s="32" t="n">
        <x:f>IF(AND(E438&lt;Settings!$B$13,F438&gt;Settings!$B$13),Settings!$B$14,0)</x:f>
        <x:v>0</x:v>
      </x:c>
      <x:c r="I438" s="32" t="str">
        <x:f>IF(A438="","",G438+H438)</x:f>
      </x:c>
      <x:c r="J438" s="22" t="str">
        <x:f>IF(A438="","",((F438-E438)*24)-(I438/60))</x:f>
      </x:c>
      <x:c r="K438" s="22" t="str">
        <x:f>IF(A438="","",MIN(J438,8))</x:f>
      </x:c>
      <x:c r="L438" s="22" t="str">
        <x:f>IF(A438="","",MAX(J438-8,0))</x:f>
      </x:c>
      <x:c r="M438" s="20" t="str">
        <x:f>IF(A438="","",K438*Settings!$B$5)</x:f>
      </x:c>
      <x:c r="N438" s="20" t="str">
        <x:f>IF(A438="","",L438*Settings!$B$6)</x:f>
      </x:c>
      <x:c r="O438" s="22"/>
      <x:c r="P438" s="22"/>
      <x:c r="Q438" s="22" t="str">
        <x:f>IF(A438="","",MAX(O438-Settings!$B$7,0))</x:f>
      </x:c>
      <x:c r="R438" s="20" t="str">
        <x:f>IF(A438="","",Q438*Settings!$B$8)</x:f>
      </x:c>
      <x:c r="S438" s="20" t="str">
        <x:f>IF(A438="","",M438+N438)</x:f>
      </x:c>
      <x:c r="T438" s="20" t="str">
        <x:f>IF(A438="","",S438+R438)</x:f>
      </x:c>
    </x:row>
    <x:row r="439">
      <x:c r="A439" s="26"/>
      <x:c r="B439" s="26" t="str">
        <x:f>IF(A439="","",A439-MOD(WEEKDAY(A439,2)-5,7))</x:f>
      </x:c>
      <x:c r="C439" s="26" t="str">
        <x:f>IF(B439="","",B439+7)</x:f>
      </x:c>
      <x:c r="D439" t="str">
        <x:f>IF(A439="","",TEXT(A439,"dddd"))</x:f>
      </x:c>
      <x:c r="E439" s="24"/>
      <x:c r="F439" s="24"/>
      <x:c r="G439" s="32" t="n">
        <x:f>IF(AND(E439&lt;Settings!$B$11,F439&gt;Settings!$B$11),Settings!$B$12,0)</x:f>
        <x:v>0</x:v>
      </x:c>
      <x:c r="H439" s="32" t="n">
        <x:f>IF(AND(E439&lt;Settings!$B$13,F439&gt;Settings!$B$13),Settings!$B$14,0)</x:f>
        <x:v>0</x:v>
      </x:c>
      <x:c r="I439" s="32" t="str">
        <x:f>IF(A439="","",G439+H439)</x:f>
      </x:c>
      <x:c r="J439" s="22" t="str">
        <x:f>IF(A439="","",((F439-E439)*24)-(I439/60))</x:f>
      </x:c>
      <x:c r="K439" s="22" t="str">
        <x:f>IF(A439="","",MIN(J439,8))</x:f>
      </x:c>
      <x:c r="L439" s="22" t="str">
        <x:f>IF(A439="","",MAX(J439-8,0))</x:f>
      </x:c>
      <x:c r="M439" s="20" t="str">
        <x:f>IF(A439="","",K439*Settings!$B$5)</x:f>
      </x:c>
      <x:c r="N439" s="20" t="str">
        <x:f>IF(A439="","",L439*Settings!$B$6)</x:f>
      </x:c>
      <x:c r="O439" s="22"/>
      <x:c r="P439" s="22"/>
      <x:c r="Q439" s="22" t="str">
        <x:f>IF(A439="","",MAX(O439-Settings!$B$7,0))</x:f>
      </x:c>
      <x:c r="R439" s="20" t="str">
        <x:f>IF(A439="","",Q439*Settings!$B$8)</x:f>
      </x:c>
      <x:c r="S439" s="20" t="str">
        <x:f>IF(A439="","",M439+N439)</x:f>
      </x:c>
      <x:c r="T439" s="20" t="str">
        <x:f>IF(A439="","",S439+R439)</x:f>
      </x:c>
    </x:row>
    <x:row r="440">
      <x:c r="A440" s="26"/>
      <x:c r="B440" s="26" t="str">
        <x:f>IF(A440="","",A440-MOD(WEEKDAY(A440,2)-5,7))</x:f>
      </x:c>
      <x:c r="C440" s="26" t="str">
        <x:f>IF(B440="","",B440+7)</x:f>
      </x:c>
      <x:c r="D440" t="str">
        <x:f>IF(A440="","",TEXT(A440,"dddd"))</x:f>
      </x:c>
      <x:c r="E440" s="24"/>
      <x:c r="F440" s="24"/>
      <x:c r="G440" s="32" t="n">
        <x:f>IF(AND(E440&lt;Settings!$B$11,F440&gt;Settings!$B$11),Settings!$B$12,0)</x:f>
        <x:v>0</x:v>
      </x:c>
      <x:c r="H440" s="32" t="n">
        <x:f>IF(AND(E440&lt;Settings!$B$13,F440&gt;Settings!$B$13),Settings!$B$14,0)</x:f>
        <x:v>0</x:v>
      </x:c>
      <x:c r="I440" s="32" t="str">
        <x:f>IF(A440="","",G440+H440)</x:f>
      </x:c>
      <x:c r="J440" s="22" t="str">
        <x:f>IF(A440="","",((F440-E440)*24)-(I440/60))</x:f>
      </x:c>
      <x:c r="K440" s="22" t="str">
        <x:f>IF(A440="","",MIN(J440,8))</x:f>
      </x:c>
      <x:c r="L440" s="22" t="str">
        <x:f>IF(A440="","",MAX(J440-8,0))</x:f>
      </x:c>
      <x:c r="M440" s="20" t="str">
        <x:f>IF(A440="","",K440*Settings!$B$5)</x:f>
      </x:c>
      <x:c r="N440" s="20" t="str">
        <x:f>IF(A440="","",L440*Settings!$B$6)</x:f>
      </x:c>
      <x:c r="O440" s="22"/>
      <x:c r="P440" s="22"/>
      <x:c r="Q440" s="22" t="str">
        <x:f>IF(A440="","",MAX(O440-Settings!$B$7,0))</x:f>
      </x:c>
      <x:c r="R440" s="20" t="str">
        <x:f>IF(A440="","",Q440*Settings!$B$8)</x:f>
      </x:c>
      <x:c r="S440" s="20" t="str">
        <x:f>IF(A440="","",M440+N440)</x:f>
      </x:c>
      <x:c r="T440" s="20" t="str">
        <x:f>IF(A440="","",S440+R440)</x:f>
      </x:c>
    </x:row>
    <x:row r="441">
      <x:c r="A441" s="26"/>
      <x:c r="B441" s="26" t="str">
        <x:f>IF(A441="","",A441-MOD(WEEKDAY(A441,2)-5,7))</x:f>
      </x:c>
      <x:c r="C441" s="26" t="str">
        <x:f>IF(B441="","",B441+7)</x:f>
      </x:c>
      <x:c r="D441" t="str">
        <x:f>IF(A441="","",TEXT(A441,"dddd"))</x:f>
      </x:c>
      <x:c r="E441" s="24"/>
      <x:c r="F441" s="24"/>
      <x:c r="G441" s="32" t="n">
        <x:f>IF(AND(E441&lt;Settings!$B$11,F441&gt;Settings!$B$11),Settings!$B$12,0)</x:f>
        <x:v>0</x:v>
      </x:c>
      <x:c r="H441" s="32" t="n">
        <x:f>IF(AND(E441&lt;Settings!$B$13,F441&gt;Settings!$B$13),Settings!$B$14,0)</x:f>
        <x:v>0</x:v>
      </x:c>
      <x:c r="I441" s="32" t="str">
        <x:f>IF(A441="","",G441+H441)</x:f>
      </x:c>
      <x:c r="J441" s="22" t="str">
        <x:f>IF(A441="","",((F441-E441)*24)-(I441/60))</x:f>
      </x:c>
      <x:c r="K441" s="22" t="str">
        <x:f>IF(A441="","",MIN(J441,8))</x:f>
      </x:c>
      <x:c r="L441" s="22" t="str">
        <x:f>IF(A441="","",MAX(J441-8,0))</x:f>
      </x:c>
      <x:c r="M441" s="20" t="str">
        <x:f>IF(A441="","",K441*Settings!$B$5)</x:f>
      </x:c>
      <x:c r="N441" s="20" t="str">
        <x:f>IF(A441="","",L441*Settings!$B$6)</x:f>
      </x:c>
      <x:c r="O441" s="22"/>
      <x:c r="P441" s="22"/>
      <x:c r="Q441" s="22" t="str">
        <x:f>IF(A441="","",MAX(O441-Settings!$B$7,0))</x:f>
      </x:c>
      <x:c r="R441" s="20" t="str">
        <x:f>IF(A441="","",Q441*Settings!$B$8)</x:f>
      </x:c>
      <x:c r="S441" s="20" t="str">
        <x:f>IF(A441="","",M441+N441)</x:f>
      </x:c>
      <x:c r="T441" s="20" t="str">
        <x:f>IF(A441="","",S441+R441)</x:f>
      </x:c>
    </x:row>
    <x:row r="442">
      <x:c r="A442" s="26"/>
      <x:c r="B442" s="26" t="str">
        <x:f>IF(A442="","",A442-MOD(WEEKDAY(A442,2)-5,7))</x:f>
      </x:c>
      <x:c r="C442" s="26" t="str">
        <x:f>IF(B442="","",B442+7)</x:f>
      </x:c>
      <x:c r="D442" t="str">
        <x:f>IF(A442="","",TEXT(A442,"dddd"))</x:f>
      </x:c>
      <x:c r="E442" s="24"/>
      <x:c r="F442" s="24"/>
      <x:c r="G442" s="32" t="n">
        <x:f>IF(AND(E442&lt;Settings!$B$11,F442&gt;Settings!$B$11),Settings!$B$12,0)</x:f>
        <x:v>0</x:v>
      </x:c>
      <x:c r="H442" s="32" t="n">
        <x:f>IF(AND(E442&lt;Settings!$B$13,F442&gt;Settings!$B$13),Settings!$B$14,0)</x:f>
        <x:v>0</x:v>
      </x:c>
      <x:c r="I442" s="32" t="str">
        <x:f>IF(A442="","",G442+H442)</x:f>
      </x:c>
      <x:c r="J442" s="22" t="str">
        <x:f>IF(A442="","",((F442-E442)*24)-(I442/60))</x:f>
      </x:c>
      <x:c r="K442" s="22" t="str">
        <x:f>IF(A442="","",MIN(J442,8))</x:f>
      </x:c>
      <x:c r="L442" s="22" t="str">
        <x:f>IF(A442="","",MAX(J442-8,0))</x:f>
      </x:c>
      <x:c r="M442" s="20" t="str">
        <x:f>IF(A442="","",K442*Settings!$B$5)</x:f>
      </x:c>
      <x:c r="N442" s="20" t="str">
        <x:f>IF(A442="","",L442*Settings!$B$6)</x:f>
      </x:c>
      <x:c r="O442" s="22"/>
      <x:c r="P442" s="22"/>
      <x:c r="Q442" s="22" t="str">
        <x:f>IF(A442="","",MAX(O442-Settings!$B$7,0))</x:f>
      </x:c>
      <x:c r="R442" s="20" t="str">
        <x:f>IF(A442="","",Q442*Settings!$B$8)</x:f>
      </x:c>
      <x:c r="S442" s="20" t="str">
        <x:f>IF(A442="","",M442+N442)</x:f>
      </x:c>
      <x:c r="T442" s="20" t="str">
        <x:f>IF(A442="","",S442+R442)</x:f>
      </x:c>
    </x:row>
    <x:row r="443">
      <x:c r="A443" s="26"/>
      <x:c r="B443" s="26" t="str">
        <x:f>IF(A443="","",A443-MOD(WEEKDAY(A443,2)-5,7))</x:f>
      </x:c>
      <x:c r="C443" s="26" t="str">
        <x:f>IF(B443="","",B443+7)</x:f>
      </x:c>
      <x:c r="D443" t="str">
        <x:f>IF(A443="","",TEXT(A443,"dddd"))</x:f>
      </x:c>
      <x:c r="E443" s="24"/>
      <x:c r="F443" s="24"/>
      <x:c r="G443" s="32" t="n">
        <x:f>IF(AND(E443&lt;Settings!$B$11,F443&gt;Settings!$B$11),Settings!$B$12,0)</x:f>
        <x:v>0</x:v>
      </x:c>
      <x:c r="H443" s="32" t="n">
        <x:f>IF(AND(E443&lt;Settings!$B$13,F443&gt;Settings!$B$13),Settings!$B$14,0)</x:f>
        <x:v>0</x:v>
      </x:c>
      <x:c r="I443" s="32" t="str">
        <x:f>IF(A443="","",G443+H443)</x:f>
      </x:c>
      <x:c r="J443" s="22" t="str">
        <x:f>IF(A443="","",((F443-E443)*24)-(I443/60))</x:f>
      </x:c>
      <x:c r="K443" s="22" t="str">
        <x:f>IF(A443="","",MIN(J443,8))</x:f>
      </x:c>
      <x:c r="L443" s="22" t="str">
        <x:f>IF(A443="","",MAX(J443-8,0))</x:f>
      </x:c>
      <x:c r="M443" s="20" t="str">
        <x:f>IF(A443="","",K443*Settings!$B$5)</x:f>
      </x:c>
      <x:c r="N443" s="20" t="str">
        <x:f>IF(A443="","",L443*Settings!$B$6)</x:f>
      </x:c>
      <x:c r="O443" s="22"/>
      <x:c r="P443" s="22"/>
      <x:c r="Q443" s="22" t="str">
        <x:f>IF(A443="","",MAX(O443-Settings!$B$7,0))</x:f>
      </x:c>
      <x:c r="R443" s="20" t="str">
        <x:f>IF(A443="","",Q443*Settings!$B$8)</x:f>
      </x:c>
      <x:c r="S443" s="20" t="str">
        <x:f>IF(A443="","",M443+N443)</x:f>
      </x:c>
      <x:c r="T443" s="20" t="str">
        <x:f>IF(A443="","",S443+R443)</x:f>
      </x:c>
    </x:row>
    <x:row r="444">
      <x:c r="A444" s="26"/>
      <x:c r="B444" s="26" t="str">
        <x:f>IF(A444="","",A444-MOD(WEEKDAY(A444,2)-5,7))</x:f>
      </x:c>
      <x:c r="C444" s="26" t="str">
        <x:f>IF(B444="","",B444+7)</x:f>
      </x:c>
      <x:c r="D444" t="str">
        <x:f>IF(A444="","",TEXT(A444,"dddd"))</x:f>
      </x:c>
      <x:c r="E444" s="24"/>
      <x:c r="F444" s="24"/>
      <x:c r="G444" s="32" t="n">
        <x:f>IF(AND(E444&lt;Settings!$B$11,F444&gt;Settings!$B$11),Settings!$B$12,0)</x:f>
        <x:v>0</x:v>
      </x:c>
      <x:c r="H444" s="32" t="n">
        <x:f>IF(AND(E444&lt;Settings!$B$13,F444&gt;Settings!$B$13),Settings!$B$14,0)</x:f>
        <x:v>0</x:v>
      </x:c>
      <x:c r="I444" s="32" t="str">
        <x:f>IF(A444="","",G444+H444)</x:f>
      </x:c>
      <x:c r="J444" s="22" t="str">
        <x:f>IF(A444="","",((F444-E444)*24)-(I444/60))</x:f>
      </x:c>
      <x:c r="K444" s="22" t="str">
        <x:f>IF(A444="","",MIN(J444,8))</x:f>
      </x:c>
      <x:c r="L444" s="22" t="str">
        <x:f>IF(A444="","",MAX(J444-8,0))</x:f>
      </x:c>
      <x:c r="M444" s="20" t="str">
        <x:f>IF(A444="","",K444*Settings!$B$5)</x:f>
      </x:c>
      <x:c r="N444" s="20" t="str">
        <x:f>IF(A444="","",L444*Settings!$B$6)</x:f>
      </x:c>
      <x:c r="O444" s="22"/>
      <x:c r="P444" s="22"/>
      <x:c r="Q444" s="22" t="str">
        <x:f>IF(A444="","",MAX(O444-Settings!$B$7,0))</x:f>
      </x:c>
      <x:c r="R444" s="20" t="str">
        <x:f>IF(A444="","",Q444*Settings!$B$8)</x:f>
      </x:c>
      <x:c r="S444" s="20" t="str">
        <x:f>IF(A444="","",M444+N444)</x:f>
      </x:c>
      <x:c r="T444" s="20" t="str">
        <x:f>IF(A444="","",S444+R444)</x:f>
      </x:c>
    </x:row>
    <x:row r="445">
      <x:c r="A445" s="26"/>
      <x:c r="B445" s="26" t="str">
        <x:f>IF(A445="","",A445-MOD(WEEKDAY(A445,2)-5,7))</x:f>
      </x:c>
      <x:c r="C445" s="26" t="str">
        <x:f>IF(B445="","",B445+7)</x:f>
      </x:c>
      <x:c r="D445" t="str">
        <x:f>IF(A445="","",TEXT(A445,"dddd"))</x:f>
      </x:c>
      <x:c r="E445" s="24"/>
      <x:c r="F445" s="24"/>
      <x:c r="G445" s="32" t="n">
        <x:f>IF(AND(E445&lt;Settings!$B$11,F445&gt;Settings!$B$11),Settings!$B$12,0)</x:f>
        <x:v>0</x:v>
      </x:c>
      <x:c r="H445" s="32" t="n">
        <x:f>IF(AND(E445&lt;Settings!$B$13,F445&gt;Settings!$B$13),Settings!$B$14,0)</x:f>
        <x:v>0</x:v>
      </x:c>
      <x:c r="I445" s="32" t="str">
        <x:f>IF(A445="","",G445+H445)</x:f>
      </x:c>
      <x:c r="J445" s="22" t="str">
        <x:f>IF(A445="","",((F445-E445)*24)-(I445/60))</x:f>
      </x:c>
      <x:c r="K445" s="22" t="str">
        <x:f>IF(A445="","",MIN(J445,8))</x:f>
      </x:c>
      <x:c r="L445" s="22" t="str">
        <x:f>IF(A445="","",MAX(J445-8,0))</x:f>
      </x:c>
      <x:c r="M445" s="20" t="str">
        <x:f>IF(A445="","",K445*Settings!$B$5)</x:f>
      </x:c>
      <x:c r="N445" s="20" t="str">
        <x:f>IF(A445="","",L445*Settings!$B$6)</x:f>
      </x:c>
      <x:c r="O445" s="22"/>
      <x:c r="P445" s="22"/>
      <x:c r="Q445" s="22" t="str">
        <x:f>IF(A445="","",MAX(O445-Settings!$B$7,0))</x:f>
      </x:c>
      <x:c r="R445" s="20" t="str">
        <x:f>IF(A445="","",Q445*Settings!$B$8)</x:f>
      </x:c>
      <x:c r="S445" s="20" t="str">
        <x:f>IF(A445="","",M445+N445)</x:f>
      </x:c>
      <x:c r="T445" s="20" t="str">
        <x:f>IF(A445="","",S445+R445)</x:f>
      </x:c>
    </x:row>
    <x:row r="446">
      <x:c r="A446" s="26"/>
      <x:c r="B446" s="26" t="str">
        <x:f>IF(A446="","",A446-MOD(WEEKDAY(A446,2)-5,7))</x:f>
      </x:c>
      <x:c r="C446" s="26" t="str">
        <x:f>IF(B446="","",B446+7)</x:f>
      </x:c>
      <x:c r="D446" t="str">
        <x:f>IF(A446="","",TEXT(A446,"dddd"))</x:f>
      </x:c>
      <x:c r="E446" s="24"/>
      <x:c r="F446" s="24"/>
      <x:c r="G446" s="32" t="n">
        <x:f>IF(AND(E446&lt;Settings!$B$11,F446&gt;Settings!$B$11),Settings!$B$12,0)</x:f>
        <x:v>0</x:v>
      </x:c>
      <x:c r="H446" s="32" t="n">
        <x:f>IF(AND(E446&lt;Settings!$B$13,F446&gt;Settings!$B$13),Settings!$B$14,0)</x:f>
        <x:v>0</x:v>
      </x:c>
      <x:c r="I446" s="32" t="str">
        <x:f>IF(A446="","",G446+H446)</x:f>
      </x:c>
      <x:c r="J446" s="22" t="str">
        <x:f>IF(A446="","",((F446-E446)*24)-(I446/60))</x:f>
      </x:c>
      <x:c r="K446" s="22" t="str">
        <x:f>IF(A446="","",MIN(J446,8))</x:f>
      </x:c>
      <x:c r="L446" s="22" t="str">
        <x:f>IF(A446="","",MAX(J446-8,0))</x:f>
      </x:c>
      <x:c r="M446" s="20" t="str">
        <x:f>IF(A446="","",K446*Settings!$B$5)</x:f>
      </x:c>
      <x:c r="N446" s="20" t="str">
        <x:f>IF(A446="","",L446*Settings!$B$6)</x:f>
      </x:c>
      <x:c r="O446" s="22"/>
      <x:c r="P446" s="22"/>
      <x:c r="Q446" s="22" t="str">
        <x:f>IF(A446="","",MAX(O446-Settings!$B$7,0))</x:f>
      </x:c>
      <x:c r="R446" s="20" t="str">
        <x:f>IF(A446="","",Q446*Settings!$B$8)</x:f>
      </x:c>
      <x:c r="S446" s="20" t="str">
        <x:f>IF(A446="","",M446+N446)</x:f>
      </x:c>
      <x:c r="T446" s="20" t="str">
        <x:f>IF(A446="","",S446+R446)</x:f>
      </x:c>
    </x:row>
    <x:row r="447">
      <x:c r="A447" s="26"/>
      <x:c r="B447" s="26" t="str">
        <x:f>IF(A447="","",A447-MOD(WEEKDAY(A447,2)-5,7))</x:f>
      </x:c>
      <x:c r="C447" s="26" t="str">
        <x:f>IF(B447="","",B447+7)</x:f>
      </x:c>
      <x:c r="D447" t="str">
        <x:f>IF(A447="","",TEXT(A447,"dddd"))</x:f>
      </x:c>
      <x:c r="E447" s="24"/>
      <x:c r="F447" s="24"/>
      <x:c r="G447" s="32" t="n">
        <x:f>IF(AND(E447&lt;Settings!$B$11,F447&gt;Settings!$B$11),Settings!$B$12,0)</x:f>
        <x:v>0</x:v>
      </x:c>
      <x:c r="H447" s="32" t="n">
        <x:f>IF(AND(E447&lt;Settings!$B$13,F447&gt;Settings!$B$13),Settings!$B$14,0)</x:f>
        <x:v>0</x:v>
      </x:c>
      <x:c r="I447" s="32" t="str">
        <x:f>IF(A447="","",G447+H447)</x:f>
      </x:c>
      <x:c r="J447" s="22" t="str">
        <x:f>IF(A447="","",((F447-E447)*24)-(I447/60))</x:f>
      </x:c>
      <x:c r="K447" s="22" t="str">
        <x:f>IF(A447="","",MIN(J447,8))</x:f>
      </x:c>
      <x:c r="L447" s="22" t="str">
        <x:f>IF(A447="","",MAX(J447-8,0))</x:f>
      </x:c>
      <x:c r="M447" s="20" t="str">
        <x:f>IF(A447="","",K447*Settings!$B$5)</x:f>
      </x:c>
      <x:c r="N447" s="20" t="str">
        <x:f>IF(A447="","",L447*Settings!$B$6)</x:f>
      </x:c>
      <x:c r="O447" s="22"/>
      <x:c r="P447" s="22"/>
      <x:c r="Q447" s="22" t="str">
        <x:f>IF(A447="","",MAX(O447-Settings!$B$7,0))</x:f>
      </x:c>
      <x:c r="R447" s="20" t="str">
        <x:f>IF(A447="","",Q447*Settings!$B$8)</x:f>
      </x:c>
      <x:c r="S447" s="20" t="str">
        <x:f>IF(A447="","",M447+N447)</x:f>
      </x:c>
      <x:c r="T447" s="20" t="str">
        <x:f>IF(A447="","",S447+R447)</x:f>
      </x:c>
    </x:row>
    <x:row r="448">
      <x:c r="A448" s="26"/>
      <x:c r="B448" s="26" t="str">
        <x:f>IF(A448="","",A448-MOD(WEEKDAY(A448,2)-5,7))</x:f>
      </x:c>
      <x:c r="C448" s="26" t="str">
        <x:f>IF(B448="","",B448+7)</x:f>
      </x:c>
      <x:c r="D448" t="str">
        <x:f>IF(A448="","",TEXT(A448,"dddd"))</x:f>
      </x:c>
      <x:c r="E448" s="24"/>
      <x:c r="F448" s="24"/>
      <x:c r="G448" s="32" t="n">
        <x:f>IF(AND(E448&lt;Settings!$B$11,F448&gt;Settings!$B$11),Settings!$B$12,0)</x:f>
        <x:v>0</x:v>
      </x:c>
      <x:c r="H448" s="32" t="n">
        <x:f>IF(AND(E448&lt;Settings!$B$13,F448&gt;Settings!$B$13),Settings!$B$14,0)</x:f>
        <x:v>0</x:v>
      </x:c>
      <x:c r="I448" s="32" t="str">
        <x:f>IF(A448="","",G448+H448)</x:f>
      </x:c>
      <x:c r="J448" s="22" t="str">
        <x:f>IF(A448="","",((F448-E448)*24)-(I448/60))</x:f>
      </x:c>
      <x:c r="K448" s="22" t="str">
        <x:f>IF(A448="","",MIN(J448,8))</x:f>
      </x:c>
      <x:c r="L448" s="22" t="str">
        <x:f>IF(A448="","",MAX(J448-8,0))</x:f>
      </x:c>
      <x:c r="M448" s="20" t="str">
        <x:f>IF(A448="","",K448*Settings!$B$5)</x:f>
      </x:c>
      <x:c r="N448" s="20" t="str">
        <x:f>IF(A448="","",L448*Settings!$B$6)</x:f>
      </x:c>
      <x:c r="O448" s="22"/>
      <x:c r="P448" s="22"/>
      <x:c r="Q448" s="22" t="str">
        <x:f>IF(A448="","",MAX(O448-Settings!$B$7,0))</x:f>
      </x:c>
      <x:c r="R448" s="20" t="str">
        <x:f>IF(A448="","",Q448*Settings!$B$8)</x:f>
      </x:c>
      <x:c r="S448" s="20" t="str">
        <x:f>IF(A448="","",M448+N448)</x:f>
      </x:c>
      <x:c r="T448" s="20" t="str">
        <x:f>IF(A448="","",S448+R448)</x:f>
      </x:c>
    </x:row>
    <x:row r="449">
      <x:c r="A449" s="26"/>
      <x:c r="B449" s="26" t="str">
        <x:f>IF(A449="","",A449-MOD(WEEKDAY(A449,2)-5,7))</x:f>
      </x:c>
      <x:c r="C449" s="26" t="str">
        <x:f>IF(B449="","",B449+7)</x:f>
      </x:c>
      <x:c r="D449" t="str">
        <x:f>IF(A449="","",TEXT(A449,"dddd"))</x:f>
      </x:c>
      <x:c r="E449" s="24"/>
      <x:c r="F449" s="24"/>
      <x:c r="G449" s="32" t="n">
        <x:f>IF(AND(E449&lt;Settings!$B$11,F449&gt;Settings!$B$11),Settings!$B$12,0)</x:f>
        <x:v>0</x:v>
      </x:c>
      <x:c r="H449" s="32" t="n">
        <x:f>IF(AND(E449&lt;Settings!$B$13,F449&gt;Settings!$B$13),Settings!$B$14,0)</x:f>
        <x:v>0</x:v>
      </x:c>
      <x:c r="I449" s="32" t="str">
        <x:f>IF(A449="","",G449+H449)</x:f>
      </x:c>
      <x:c r="J449" s="22" t="str">
        <x:f>IF(A449="","",((F449-E449)*24)-(I449/60))</x:f>
      </x:c>
      <x:c r="K449" s="22" t="str">
        <x:f>IF(A449="","",MIN(J449,8))</x:f>
      </x:c>
      <x:c r="L449" s="22" t="str">
        <x:f>IF(A449="","",MAX(J449-8,0))</x:f>
      </x:c>
      <x:c r="M449" s="20" t="str">
        <x:f>IF(A449="","",K449*Settings!$B$5)</x:f>
      </x:c>
      <x:c r="N449" s="20" t="str">
        <x:f>IF(A449="","",L449*Settings!$B$6)</x:f>
      </x:c>
      <x:c r="O449" s="22"/>
      <x:c r="P449" s="22"/>
      <x:c r="Q449" s="22" t="str">
        <x:f>IF(A449="","",MAX(O449-Settings!$B$7,0))</x:f>
      </x:c>
      <x:c r="R449" s="20" t="str">
        <x:f>IF(A449="","",Q449*Settings!$B$8)</x:f>
      </x:c>
      <x:c r="S449" s="20" t="str">
        <x:f>IF(A449="","",M449+N449)</x:f>
      </x:c>
      <x:c r="T449" s="20" t="str">
        <x:f>IF(A449="","",S449+R449)</x:f>
      </x:c>
    </x:row>
    <x:row r="450">
      <x:c r="A450" s="26"/>
      <x:c r="B450" s="26" t="str">
        <x:f>IF(A450="","",A450-MOD(WEEKDAY(A450,2)-5,7))</x:f>
      </x:c>
      <x:c r="C450" s="26" t="str">
        <x:f>IF(B450="","",B450+7)</x:f>
      </x:c>
      <x:c r="D450" t="str">
        <x:f>IF(A450="","",TEXT(A450,"dddd"))</x:f>
      </x:c>
      <x:c r="E450" s="24"/>
      <x:c r="F450" s="24"/>
      <x:c r="G450" s="32" t="n">
        <x:f>IF(AND(E450&lt;Settings!$B$11,F450&gt;Settings!$B$11),Settings!$B$12,0)</x:f>
        <x:v>0</x:v>
      </x:c>
      <x:c r="H450" s="32" t="n">
        <x:f>IF(AND(E450&lt;Settings!$B$13,F450&gt;Settings!$B$13),Settings!$B$14,0)</x:f>
        <x:v>0</x:v>
      </x:c>
      <x:c r="I450" s="32" t="str">
        <x:f>IF(A450="","",G450+H450)</x:f>
      </x:c>
      <x:c r="J450" s="22" t="str">
        <x:f>IF(A450="","",((F450-E450)*24)-(I450/60))</x:f>
      </x:c>
      <x:c r="K450" s="22" t="str">
        <x:f>IF(A450="","",MIN(J450,8))</x:f>
      </x:c>
      <x:c r="L450" s="22" t="str">
        <x:f>IF(A450="","",MAX(J450-8,0))</x:f>
      </x:c>
      <x:c r="M450" s="20" t="str">
        <x:f>IF(A450="","",K450*Settings!$B$5)</x:f>
      </x:c>
      <x:c r="N450" s="20" t="str">
        <x:f>IF(A450="","",L450*Settings!$B$6)</x:f>
      </x:c>
      <x:c r="O450" s="22"/>
      <x:c r="P450" s="22"/>
      <x:c r="Q450" s="22" t="str">
        <x:f>IF(A450="","",MAX(O450-Settings!$B$7,0))</x:f>
      </x:c>
      <x:c r="R450" s="20" t="str">
        <x:f>IF(A450="","",Q450*Settings!$B$8)</x:f>
      </x:c>
      <x:c r="S450" s="20" t="str">
        <x:f>IF(A450="","",M450+N450)</x:f>
      </x:c>
      <x:c r="T450" s="20" t="str">
        <x:f>IF(A450="","",S450+R450)</x:f>
      </x:c>
    </x:row>
    <x:row r="451">
      <x:c r="A451" s="26"/>
      <x:c r="B451" s="26" t="str">
        <x:f>IF(A451="","",A451-MOD(WEEKDAY(A451,2)-5,7))</x:f>
      </x:c>
      <x:c r="C451" s="26" t="str">
        <x:f>IF(B451="","",B451+7)</x:f>
      </x:c>
      <x:c r="D451" t="str">
        <x:f>IF(A451="","",TEXT(A451,"dddd"))</x:f>
      </x:c>
      <x:c r="E451" s="24"/>
      <x:c r="F451" s="24"/>
      <x:c r="G451" s="32" t="n">
        <x:f>IF(AND(E451&lt;Settings!$B$11,F451&gt;Settings!$B$11),Settings!$B$12,0)</x:f>
        <x:v>0</x:v>
      </x:c>
      <x:c r="H451" s="32" t="n">
        <x:f>IF(AND(E451&lt;Settings!$B$13,F451&gt;Settings!$B$13),Settings!$B$14,0)</x:f>
        <x:v>0</x:v>
      </x:c>
      <x:c r="I451" s="32" t="str">
        <x:f>IF(A451="","",G451+H451)</x:f>
      </x:c>
      <x:c r="J451" s="22" t="str">
        <x:f>IF(A451="","",((F451-E451)*24)-(I451/60))</x:f>
      </x:c>
      <x:c r="K451" s="22" t="str">
        <x:f>IF(A451="","",MIN(J451,8))</x:f>
      </x:c>
      <x:c r="L451" s="22" t="str">
        <x:f>IF(A451="","",MAX(J451-8,0))</x:f>
      </x:c>
      <x:c r="M451" s="20" t="str">
        <x:f>IF(A451="","",K451*Settings!$B$5)</x:f>
      </x:c>
      <x:c r="N451" s="20" t="str">
        <x:f>IF(A451="","",L451*Settings!$B$6)</x:f>
      </x:c>
      <x:c r="O451" s="22"/>
      <x:c r="P451" s="22"/>
      <x:c r="Q451" s="22" t="str">
        <x:f>IF(A451="","",MAX(O451-Settings!$B$7,0))</x:f>
      </x:c>
      <x:c r="R451" s="20" t="str">
        <x:f>IF(A451="","",Q451*Settings!$B$8)</x:f>
      </x:c>
      <x:c r="S451" s="20" t="str">
        <x:f>IF(A451="","",M451+N451)</x:f>
      </x:c>
      <x:c r="T451" s="20" t="str">
        <x:f>IF(A451="","",S451+R451)</x:f>
      </x:c>
    </x:row>
    <x:row r="452">
      <x:c r="A452" s="26"/>
      <x:c r="B452" s="26" t="str">
        <x:f>IF(A452="","",A452-MOD(WEEKDAY(A452,2)-5,7))</x:f>
      </x:c>
      <x:c r="C452" s="26" t="str">
        <x:f>IF(B452="","",B452+7)</x:f>
      </x:c>
      <x:c r="D452" t="str">
        <x:f>IF(A452="","",TEXT(A452,"dddd"))</x:f>
      </x:c>
      <x:c r="E452" s="24"/>
      <x:c r="F452" s="24"/>
      <x:c r="G452" s="32" t="n">
        <x:f>IF(AND(E452&lt;Settings!$B$11,F452&gt;Settings!$B$11),Settings!$B$12,0)</x:f>
        <x:v>0</x:v>
      </x:c>
      <x:c r="H452" s="32" t="n">
        <x:f>IF(AND(E452&lt;Settings!$B$13,F452&gt;Settings!$B$13),Settings!$B$14,0)</x:f>
        <x:v>0</x:v>
      </x:c>
      <x:c r="I452" s="32" t="str">
        <x:f>IF(A452="","",G452+H452)</x:f>
      </x:c>
      <x:c r="J452" s="22" t="str">
        <x:f>IF(A452="","",((F452-E452)*24)-(I452/60))</x:f>
      </x:c>
      <x:c r="K452" s="22" t="str">
        <x:f>IF(A452="","",MIN(J452,8))</x:f>
      </x:c>
      <x:c r="L452" s="22" t="str">
        <x:f>IF(A452="","",MAX(J452-8,0))</x:f>
      </x:c>
      <x:c r="M452" s="20" t="str">
        <x:f>IF(A452="","",K452*Settings!$B$5)</x:f>
      </x:c>
      <x:c r="N452" s="20" t="str">
        <x:f>IF(A452="","",L452*Settings!$B$6)</x:f>
      </x:c>
      <x:c r="O452" s="22"/>
      <x:c r="P452" s="22"/>
      <x:c r="Q452" s="22" t="str">
        <x:f>IF(A452="","",MAX(O452-Settings!$B$7,0))</x:f>
      </x:c>
      <x:c r="R452" s="20" t="str">
        <x:f>IF(A452="","",Q452*Settings!$B$8)</x:f>
      </x:c>
      <x:c r="S452" s="20" t="str">
        <x:f>IF(A452="","",M452+N452)</x:f>
      </x:c>
      <x:c r="T452" s="20" t="str">
        <x:f>IF(A452="","",S452+R452)</x:f>
      </x:c>
    </x:row>
    <x:row r="453">
      <x:c r="A453" s="26"/>
      <x:c r="B453" s="26" t="str">
        <x:f>IF(A453="","",A453-MOD(WEEKDAY(A453,2)-5,7))</x:f>
      </x:c>
      <x:c r="C453" s="26" t="str">
        <x:f>IF(B453="","",B453+7)</x:f>
      </x:c>
      <x:c r="D453" t="str">
        <x:f>IF(A453="","",TEXT(A453,"dddd"))</x:f>
      </x:c>
      <x:c r="E453" s="24"/>
      <x:c r="F453" s="24"/>
      <x:c r="G453" s="32" t="n">
        <x:f>IF(AND(E453&lt;Settings!$B$11,F453&gt;Settings!$B$11),Settings!$B$12,0)</x:f>
        <x:v>0</x:v>
      </x:c>
      <x:c r="H453" s="32" t="n">
        <x:f>IF(AND(E453&lt;Settings!$B$13,F453&gt;Settings!$B$13),Settings!$B$14,0)</x:f>
        <x:v>0</x:v>
      </x:c>
      <x:c r="I453" s="32" t="str">
        <x:f>IF(A453="","",G453+H453)</x:f>
      </x:c>
      <x:c r="J453" s="22" t="str">
        <x:f>IF(A453="","",((F453-E453)*24)-(I453/60))</x:f>
      </x:c>
      <x:c r="K453" s="22" t="str">
        <x:f>IF(A453="","",MIN(J453,8))</x:f>
      </x:c>
      <x:c r="L453" s="22" t="str">
        <x:f>IF(A453="","",MAX(J453-8,0))</x:f>
      </x:c>
      <x:c r="M453" s="20" t="str">
        <x:f>IF(A453="","",K453*Settings!$B$5)</x:f>
      </x:c>
      <x:c r="N453" s="20" t="str">
        <x:f>IF(A453="","",L453*Settings!$B$6)</x:f>
      </x:c>
      <x:c r="O453" s="22"/>
      <x:c r="P453" s="22"/>
      <x:c r="Q453" s="22" t="str">
        <x:f>IF(A453="","",MAX(O453-Settings!$B$7,0))</x:f>
      </x:c>
      <x:c r="R453" s="20" t="str">
        <x:f>IF(A453="","",Q453*Settings!$B$8)</x:f>
      </x:c>
      <x:c r="S453" s="20" t="str">
        <x:f>IF(A453="","",M453+N453)</x:f>
      </x:c>
      <x:c r="T453" s="20" t="str">
        <x:f>IF(A453="","",S453+R453)</x:f>
      </x:c>
    </x:row>
    <x:row r="454">
      <x:c r="A454" s="26"/>
      <x:c r="B454" s="26" t="str">
        <x:f>IF(A454="","",A454-MOD(WEEKDAY(A454,2)-5,7))</x:f>
      </x:c>
      <x:c r="C454" s="26" t="str">
        <x:f>IF(B454="","",B454+7)</x:f>
      </x:c>
      <x:c r="D454" t="str">
        <x:f>IF(A454="","",TEXT(A454,"dddd"))</x:f>
      </x:c>
      <x:c r="E454" s="24"/>
      <x:c r="F454" s="24"/>
      <x:c r="G454" s="32" t="n">
        <x:f>IF(AND(E454&lt;Settings!$B$11,F454&gt;Settings!$B$11),Settings!$B$12,0)</x:f>
        <x:v>0</x:v>
      </x:c>
      <x:c r="H454" s="32" t="n">
        <x:f>IF(AND(E454&lt;Settings!$B$13,F454&gt;Settings!$B$13),Settings!$B$14,0)</x:f>
        <x:v>0</x:v>
      </x:c>
      <x:c r="I454" s="32" t="str">
        <x:f>IF(A454="","",G454+H454)</x:f>
      </x:c>
      <x:c r="J454" s="22" t="str">
        <x:f>IF(A454="","",((F454-E454)*24)-(I454/60))</x:f>
      </x:c>
      <x:c r="K454" s="22" t="str">
        <x:f>IF(A454="","",MIN(J454,8))</x:f>
      </x:c>
      <x:c r="L454" s="22" t="str">
        <x:f>IF(A454="","",MAX(J454-8,0))</x:f>
      </x:c>
      <x:c r="M454" s="20" t="str">
        <x:f>IF(A454="","",K454*Settings!$B$5)</x:f>
      </x:c>
      <x:c r="N454" s="20" t="str">
        <x:f>IF(A454="","",L454*Settings!$B$6)</x:f>
      </x:c>
      <x:c r="O454" s="22"/>
      <x:c r="P454" s="22"/>
      <x:c r="Q454" s="22" t="str">
        <x:f>IF(A454="","",MAX(O454-Settings!$B$7,0))</x:f>
      </x:c>
      <x:c r="R454" s="20" t="str">
        <x:f>IF(A454="","",Q454*Settings!$B$8)</x:f>
      </x:c>
      <x:c r="S454" s="20" t="str">
        <x:f>IF(A454="","",M454+N454)</x:f>
      </x:c>
      <x:c r="T454" s="20" t="str">
        <x:f>IF(A454="","",S454+R454)</x:f>
      </x:c>
    </x:row>
    <x:row r="455">
      <x:c r="A455" s="26"/>
      <x:c r="B455" s="26" t="str">
        <x:f>IF(A455="","",A455-MOD(WEEKDAY(A455,2)-5,7))</x:f>
      </x:c>
      <x:c r="C455" s="26" t="str">
        <x:f>IF(B455="","",B455+7)</x:f>
      </x:c>
      <x:c r="D455" t="str">
        <x:f>IF(A455="","",TEXT(A455,"dddd"))</x:f>
      </x:c>
      <x:c r="E455" s="24"/>
      <x:c r="F455" s="24"/>
      <x:c r="G455" s="32" t="n">
        <x:f>IF(AND(E455&lt;Settings!$B$11,F455&gt;Settings!$B$11),Settings!$B$12,0)</x:f>
        <x:v>0</x:v>
      </x:c>
      <x:c r="H455" s="32" t="n">
        <x:f>IF(AND(E455&lt;Settings!$B$13,F455&gt;Settings!$B$13),Settings!$B$14,0)</x:f>
        <x:v>0</x:v>
      </x:c>
      <x:c r="I455" s="32" t="str">
        <x:f>IF(A455="","",G455+H455)</x:f>
      </x:c>
      <x:c r="J455" s="22" t="str">
        <x:f>IF(A455="","",((F455-E455)*24)-(I455/60))</x:f>
      </x:c>
      <x:c r="K455" s="22" t="str">
        <x:f>IF(A455="","",MIN(J455,8))</x:f>
      </x:c>
      <x:c r="L455" s="22" t="str">
        <x:f>IF(A455="","",MAX(J455-8,0))</x:f>
      </x:c>
      <x:c r="M455" s="20" t="str">
        <x:f>IF(A455="","",K455*Settings!$B$5)</x:f>
      </x:c>
      <x:c r="N455" s="20" t="str">
        <x:f>IF(A455="","",L455*Settings!$B$6)</x:f>
      </x:c>
      <x:c r="O455" s="22"/>
      <x:c r="P455" s="22"/>
      <x:c r="Q455" s="22" t="str">
        <x:f>IF(A455="","",MAX(O455-Settings!$B$7,0))</x:f>
      </x:c>
      <x:c r="R455" s="20" t="str">
        <x:f>IF(A455="","",Q455*Settings!$B$8)</x:f>
      </x:c>
      <x:c r="S455" s="20" t="str">
        <x:f>IF(A455="","",M455+N455)</x:f>
      </x:c>
      <x:c r="T455" s="20" t="str">
        <x:f>IF(A455="","",S455+R455)</x:f>
      </x:c>
    </x:row>
    <x:row r="456">
      <x:c r="A456" s="26"/>
      <x:c r="B456" s="26" t="str">
        <x:f>IF(A456="","",A456-MOD(WEEKDAY(A456,2)-5,7))</x:f>
      </x:c>
      <x:c r="C456" s="26" t="str">
        <x:f>IF(B456="","",B456+7)</x:f>
      </x:c>
      <x:c r="D456" t="str">
        <x:f>IF(A456="","",TEXT(A456,"dddd"))</x:f>
      </x:c>
      <x:c r="E456" s="24"/>
      <x:c r="F456" s="24"/>
      <x:c r="G456" s="32" t="n">
        <x:f>IF(AND(E456&lt;Settings!$B$11,F456&gt;Settings!$B$11),Settings!$B$12,0)</x:f>
        <x:v>0</x:v>
      </x:c>
      <x:c r="H456" s="32" t="n">
        <x:f>IF(AND(E456&lt;Settings!$B$13,F456&gt;Settings!$B$13),Settings!$B$14,0)</x:f>
        <x:v>0</x:v>
      </x:c>
      <x:c r="I456" s="32" t="str">
        <x:f>IF(A456="","",G456+H456)</x:f>
      </x:c>
      <x:c r="J456" s="22" t="str">
        <x:f>IF(A456="","",((F456-E456)*24)-(I456/60))</x:f>
      </x:c>
      <x:c r="K456" s="22" t="str">
        <x:f>IF(A456="","",MIN(J456,8))</x:f>
      </x:c>
      <x:c r="L456" s="22" t="str">
        <x:f>IF(A456="","",MAX(J456-8,0))</x:f>
      </x:c>
      <x:c r="M456" s="20" t="str">
        <x:f>IF(A456="","",K456*Settings!$B$5)</x:f>
      </x:c>
      <x:c r="N456" s="20" t="str">
        <x:f>IF(A456="","",L456*Settings!$B$6)</x:f>
      </x:c>
      <x:c r="O456" s="22"/>
      <x:c r="P456" s="22"/>
      <x:c r="Q456" s="22" t="str">
        <x:f>IF(A456="","",MAX(O456-Settings!$B$7,0))</x:f>
      </x:c>
      <x:c r="R456" s="20" t="str">
        <x:f>IF(A456="","",Q456*Settings!$B$8)</x:f>
      </x:c>
      <x:c r="S456" s="20" t="str">
        <x:f>IF(A456="","",M456+N456)</x:f>
      </x:c>
      <x:c r="T456" s="20" t="str">
        <x:f>IF(A456="","",S456+R456)</x:f>
      </x:c>
    </x:row>
    <x:row r="457">
      <x:c r="A457" s="26"/>
      <x:c r="B457" s="26" t="str">
        <x:f>IF(A457="","",A457-MOD(WEEKDAY(A457,2)-5,7))</x:f>
      </x:c>
      <x:c r="C457" s="26" t="str">
        <x:f>IF(B457="","",B457+7)</x:f>
      </x:c>
      <x:c r="D457" t="str">
        <x:f>IF(A457="","",TEXT(A457,"dddd"))</x:f>
      </x:c>
      <x:c r="E457" s="24"/>
      <x:c r="F457" s="24"/>
      <x:c r="G457" s="32" t="n">
        <x:f>IF(AND(E457&lt;Settings!$B$11,F457&gt;Settings!$B$11),Settings!$B$12,0)</x:f>
        <x:v>0</x:v>
      </x:c>
      <x:c r="H457" s="32" t="n">
        <x:f>IF(AND(E457&lt;Settings!$B$13,F457&gt;Settings!$B$13),Settings!$B$14,0)</x:f>
        <x:v>0</x:v>
      </x:c>
      <x:c r="I457" s="32" t="str">
        <x:f>IF(A457="","",G457+H457)</x:f>
      </x:c>
      <x:c r="J457" s="22" t="str">
        <x:f>IF(A457="","",((F457-E457)*24)-(I457/60))</x:f>
      </x:c>
      <x:c r="K457" s="22" t="str">
        <x:f>IF(A457="","",MIN(J457,8))</x:f>
      </x:c>
      <x:c r="L457" s="22" t="str">
        <x:f>IF(A457="","",MAX(J457-8,0))</x:f>
      </x:c>
      <x:c r="M457" s="20" t="str">
        <x:f>IF(A457="","",K457*Settings!$B$5)</x:f>
      </x:c>
      <x:c r="N457" s="20" t="str">
        <x:f>IF(A457="","",L457*Settings!$B$6)</x:f>
      </x:c>
      <x:c r="O457" s="22"/>
      <x:c r="P457" s="22"/>
      <x:c r="Q457" s="22" t="str">
        <x:f>IF(A457="","",MAX(O457-Settings!$B$7,0))</x:f>
      </x:c>
      <x:c r="R457" s="20" t="str">
        <x:f>IF(A457="","",Q457*Settings!$B$8)</x:f>
      </x:c>
      <x:c r="S457" s="20" t="str">
        <x:f>IF(A457="","",M457+N457)</x:f>
      </x:c>
      <x:c r="T457" s="20" t="str">
        <x:f>IF(A457="","",S457+R457)</x:f>
      </x:c>
    </x:row>
    <x:row r="458">
      <x:c r="A458" s="26"/>
      <x:c r="B458" s="26" t="str">
        <x:f>IF(A458="","",A458-MOD(WEEKDAY(A458,2)-5,7))</x:f>
      </x:c>
      <x:c r="C458" s="26" t="str">
        <x:f>IF(B458="","",B458+7)</x:f>
      </x:c>
      <x:c r="D458" t="str">
        <x:f>IF(A458="","",TEXT(A458,"dddd"))</x:f>
      </x:c>
      <x:c r="E458" s="24"/>
      <x:c r="F458" s="24"/>
      <x:c r="G458" s="32" t="n">
        <x:f>IF(AND(E458&lt;Settings!$B$11,F458&gt;Settings!$B$11),Settings!$B$12,0)</x:f>
        <x:v>0</x:v>
      </x:c>
      <x:c r="H458" s="32" t="n">
        <x:f>IF(AND(E458&lt;Settings!$B$13,F458&gt;Settings!$B$13),Settings!$B$14,0)</x:f>
        <x:v>0</x:v>
      </x:c>
      <x:c r="I458" s="32" t="str">
        <x:f>IF(A458="","",G458+H458)</x:f>
      </x:c>
      <x:c r="J458" s="22" t="str">
        <x:f>IF(A458="","",((F458-E458)*24)-(I458/60))</x:f>
      </x:c>
      <x:c r="K458" s="22" t="str">
        <x:f>IF(A458="","",MIN(J458,8))</x:f>
      </x:c>
      <x:c r="L458" s="22" t="str">
        <x:f>IF(A458="","",MAX(J458-8,0))</x:f>
      </x:c>
      <x:c r="M458" s="20" t="str">
        <x:f>IF(A458="","",K458*Settings!$B$5)</x:f>
      </x:c>
      <x:c r="N458" s="20" t="str">
        <x:f>IF(A458="","",L458*Settings!$B$6)</x:f>
      </x:c>
      <x:c r="O458" s="22"/>
      <x:c r="P458" s="22"/>
      <x:c r="Q458" s="22" t="str">
        <x:f>IF(A458="","",MAX(O458-Settings!$B$7,0))</x:f>
      </x:c>
      <x:c r="R458" s="20" t="str">
        <x:f>IF(A458="","",Q458*Settings!$B$8)</x:f>
      </x:c>
      <x:c r="S458" s="20" t="str">
        <x:f>IF(A458="","",M458+N458)</x:f>
      </x:c>
      <x:c r="T458" s="20" t="str">
        <x:f>IF(A458="","",S458+R458)</x:f>
      </x:c>
    </x:row>
    <x:row r="459">
      <x:c r="A459" s="26"/>
      <x:c r="B459" s="26" t="str">
        <x:f>IF(A459="","",A459-MOD(WEEKDAY(A459,2)-5,7))</x:f>
      </x:c>
      <x:c r="C459" s="26" t="str">
        <x:f>IF(B459="","",B459+7)</x:f>
      </x:c>
      <x:c r="D459" t="str">
        <x:f>IF(A459="","",TEXT(A459,"dddd"))</x:f>
      </x:c>
      <x:c r="E459" s="24"/>
      <x:c r="F459" s="24"/>
      <x:c r="G459" s="32" t="n">
        <x:f>IF(AND(E459&lt;Settings!$B$11,F459&gt;Settings!$B$11),Settings!$B$12,0)</x:f>
        <x:v>0</x:v>
      </x:c>
      <x:c r="H459" s="32" t="n">
        <x:f>IF(AND(E459&lt;Settings!$B$13,F459&gt;Settings!$B$13),Settings!$B$14,0)</x:f>
        <x:v>0</x:v>
      </x:c>
      <x:c r="I459" s="32" t="str">
        <x:f>IF(A459="","",G459+H459)</x:f>
      </x:c>
      <x:c r="J459" s="22" t="str">
        <x:f>IF(A459="","",((F459-E459)*24)-(I459/60))</x:f>
      </x:c>
      <x:c r="K459" s="22" t="str">
        <x:f>IF(A459="","",MIN(J459,8))</x:f>
      </x:c>
      <x:c r="L459" s="22" t="str">
        <x:f>IF(A459="","",MAX(J459-8,0))</x:f>
      </x:c>
      <x:c r="M459" s="20" t="str">
        <x:f>IF(A459="","",K459*Settings!$B$5)</x:f>
      </x:c>
      <x:c r="N459" s="20" t="str">
        <x:f>IF(A459="","",L459*Settings!$B$6)</x:f>
      </x:c>
      <x:c r="O459" s="22"/>
      <x:c r="P459" s="22"/>
      <x:c r="Q459" s="22" t="str">
        <x:f>IF(A459="","",MAX(O459-Settings!$B$7,0))</x:f>
      </x:c>
      <x:c r="R459" s="20" t="str">
        <x:f>IF(A459="","",Q459*Settings!$B$8)</x:f>
      </x:c>
      <x:c r="S459" s="20" t="str">
        <x:f>IF(A459="","",M459+N459)</x:f>
      </x:c>
      <x:c r="T459" s="20" t="str">
        <x:f>IF(A459="","",S459+R459)</x:f>
      </x:c>
    </x:row>
    <x:row r="460">
      <x:c r="A460" s="26"/>
      <x:c r="B460" s="26" t="str">
        <x:f>IF(A460="","",A460-MOD(WEEKDAY(A460,2)-5,7))</x:f>
      </x:c>
      <x:c r="C460" s="26" t="str">
        <x:f>IF(B460="","",B460+7)</x:f>
      </x:c>
      <x:c r="D460" t="str">
        <x:f>IF(A460="","",TEXT(A460,"dddd"))</x:f>
      </x:c>
      <x:c r="E460" s="24"/>
      <x:c r="F460" s="24"/>
      <x:c r="G460" s="32" t="n">
        <x:f>IF(AND(E460&lt;Settings!$B$11,F460&gt;Settings!$B$11),Settings!$B$12,0)</x:f>
        <x:v>0</x:v>
      </x:c>
      <x:c r="H460" s="32" t="n">
        <x:f>IF(AND(E460&lt;Settings!$B$13,F460&gt;Settings!$B$13),Settings!$B$14,0)</x:f>
        <x:v>0</x:v>
      </x:c>
      <x:c r="I460" s="32" t="str">
        <x:f>IF(A460="","",G460+H460)</x:f>
      </x:c>
      <x:c r="J460" s="22" t="str">
        <x:f>IF(A460="","",((F460-E460)*24)-(I460/60))</x:f>
      </x:c>
      <x:c r="K460" s="22" t="str">
        <x:f>IF(A460="","",MIN(J460,8))</x:f>
      </x:c>
      <x:c r="L460" s="22" t="str">
        <x:f>IF(A460="","",MAX(J460-8,0))</x:f>
      </x:c>
      <x:c r="M460" s="20" t="str">
        <x:f>IF(A460="","",K460*Settings!$B$5)</x:f>
      </x:c>
      <x:c r="N460" s="20" t="str">
        <x:f>IF(A460="","",L460*Settings!$B$6)</x:f>
      </x:c>
      <x:c r="O460" s="22"/>
      <x:c r="P460" s="22"/>
      <x:c r="Q460" s="22" t="str">
        <x:f>IF(A460="","",MAX(O460-Settings!$B$7,0))</x:f>
      </x:c>
      <x:c r="R460" s="20" t="str">
        <x:f>IF(A460="","",Q460*Settings!$B$8)</x:f>
      </x:c>
      <x:c r="S460" s="20" t="str">
        <x:f>IF(A460="","",M460+N460)</x:f>
      </x:c>
      <x:c r="T460" s="20" t="str">
        <x:f>IF(A460="","",S460+R460)</x:f>
      </x:c>
    </x:row>
    <x:row r="461">
      <x:c r="A461" s="26"/>
      <x:c r="B461" s="26" t="str">
        <x:f>IF(A461="","",A461-MOD(WEEKDAY(A461,2)-5,7))</x:f>
      </x:c>
      <x:c r="C461" s="26" t="str">
        <x:f>IF(B461="","",B461+7)</x:f>
      </x:c>
      <x:c r="D461" t="str">
        <x:f>IF(A461="","",TEXT(A461,"dddd"))</x:f>
      </x:c>
      <x:c r="E461" s="24"/>
      <x:c r="F461" s="24"/>
      <x:c r="G461" s="32" t="n">
        <x:f>IF(AND(E461&lt;Settings!$B$11,F461&gt;Settings!$B$11),Settings!$B$12,0)</x:f>
        <x:v>0</x:v>
      </x:c>
      <x:c r="H461" s="32" t="n">
        <x:f>IF(AND(E461&lt;Settings!$B$13,F461&gt;Settings!$B$13),Settings!$B$14,0)</x:f>
        <x:v>0</x:v>
      </x:c>
      <x:c r="I461" s="32" t="str">
        <x:f>IF(A461="","",G461+H461)</x:f>
      </x:c>
      <x:c r="J461" s="22" t="str">
        <x:f>IF(A461="","",((F461-E461)*24)-(I461/60))</x:f>
      </x:c>
      <x:c r="K461" s="22" t="str">
        <x:f>IF(A461="","",MIN(J461,8))</x:f>
      </x:c>
      <x:c r="L461" s="22" t="str">
        <x:f>IF(A461="","",MAX(J461-8,0))</x:f>
      </x:c>
      <x:c r="M461" s="20" t="str">
        <x:f>IF(A461="","",K461*Settings!$B$5)</x:f>
      </x:c>
      <x:c r="N461" s="20" t="str">
        <x:f>IF(A461="","",L461*Settings!$B$6)</x:f>
      </x:c>
      <x:c r="O461" s="22"/>
      <x:c r="P461" s="22"/>
      <x:c r="Q461" s="22" t="str">
        <x:f>IF(A461="","",MAX(O461-Settings!$B$7,0))</x:f>
      </x:c>
      <x:c r="R461" s="20" t="str">
        <x:f>IF(A461="","",Q461*Settings!$B$8)</x:f>
      </x:c>
      <x:c r="S461" s="20" t="str">
        <x:f>IF(A461="","",M461+N461)</x:f>
      </x:c>
      <x:c r="T461" s="20" t="str">
        <x:f>IF(A461="","",S461+R461)</x:f>
      </x:c>
    </x:row>
    <x:row r="462">
      <x:c r="A462" s="26"/>
      <x:c r="B462" s="26" t="str">
        <x:f>IF(A462="","",A462-MOD(WEEKDAY(A462,2)-5,7))</x:f>
      </x:c>
      <x:c r="C462" s="26" t="str">
        <x:f>IF(B462="","",B462+7)</x:f>
      </x:c>
      <x:c r="D462" t="str">
        <x:f>IF(A462="","",TEXT(A462,"dddd"))</x:f>
      </x:c>
      <x:c r="E462" s="24"/>
      <x:c r="F462" s="24"/>
      <x:c r="G462" s="32" t="n">
        <x:f>IF(AND(E462&lt;Settings!$B$11,F462&gt;Settings!$B$11),Settings!$B$12,0)</x:f>
        <x:v>0</x:v>
      </x:c>
      <x:c r="H462" s="32" t="n">
        <x:f>IF(AND(E462&lt;Settings!$B$13,F462&gt;Settings!$B$13),Settings!$B$14,0)</x:f>
        <x:v>0</x:v>
      </x:c>
      <x:c r="I462" s="32" t="str">
        <x:f>IF(A462="","",G462+H462)</x:f>
      </x:c>
      <x:c r="J462" s="22" t="str">
        <x:f>IF(A462="","",((F462-E462)*24)-(I462/60))</x:f>
      </x:c>
      <x:c r="K462" s="22" t="str">
        <x:f>IF(A462="","",MIN(J462,8))</x:f>
      </x:c>
      <x:c r="L462" s="22" t="str">
        <x:f>IF(A462="","",MAX(J462-8,0))</x:f>
      </x:c>
      <x:c r="M462" s="20" t="str">
        <x:f>IF(A462="","",K462*Settings!$B$5)</x:f>
      </x:c>
      <x:c r="N462" s="20" t="str">
        <x:f>IF(A462="","",L462*Settings!$B$6)</x:f>
      </x:c>
      <x:c r="O462" s="22"/>
      <x:c r="P462" s="22"/>
      <x:c r="Q462" s="22" t="str">
        <x:f>IF(A462="","",MAX(O462-Settings!$B$7,0))</x:f>
      </x:c>
      <x:c r="R462" s="20" t="str">
        <x:f>IF(A462="","",Q462*Settings!$B$8)</x:f>
      </x:c>
      <x:c r="S462" s="20" t="str">
        <x:f>IF(A462="","",M462+N462)</x:f>
      </x:c>
      <x:c r="T462" s="20" t="str">
        <x:f>IF(A462="","",S462+R462)</x:f>
      </x:c>
    </x:row>
    <x:row r="463">
      <x:c r="A463" s="26"/>
      <x:c r="B463" s="26" t="str">
        <x:f>IF(A463="","",A463-MOD(WEEKDAY(A463,2)-5,7))</x:f>
      </x:c>
      <x:c r="C463" s="26" t="str">
        <x:f>IF(B463="","",B463+7)</x:f>
      </x:c>
      <x:c r="D463" t="str">
        <x:f>IF(A463="","",TEXT(A463,"dddd"))</x:f>
      </x:c>
      <x:c r="E463" s="24"/>
      <x:c r="F463" s="24"/>
      <x:c r="G463" s="32" t="n">
        <x:f>IF(AND(E463&lt;Settings!$B$11,F463&gt;Settings!$B$11),Settings!$B$12,0)</x:f>
        <x:v>0</x:v>
      </x:c>
      <x:c r="H463" s="32" t="n">
        <x:f>IF(AND(E463&lt;Settings!$B$13,F463&gt;Settings!$B$13),Settings!$B$14,0)</x:f>
        <x:v>0</x:v>
      </x:c>
      <x:c r="I463" s="32" t="str">
        <x:f>IF(A463="","",G463+H463)</x:f>
      </x:c>
      <x:c r="J463" s="22" t="str">
        <x:f>IF(A463="","",((F463-E463)*24)-(I463/60))</x:f>
      </x:c>
      <x:c r="K463" s="22" t="str">
        <x:f>IF(A463="","",MIN(J463,8))</x:f>
      </x:c>
      <x:c r="L463" s="22" t="str">
        <x:f>IF(A463="","",MAX(J463-8,0))</x:f>
      </x:c>
      <x:c r="M463" s="20" t="str">
        <x:f>IF(A463="","",K463*Settings!$B$5)</x:f>
      </x:c>
      <x:c r="N463" s="20" t="str">
        <x:f>IF(A463="","",L463*Settings!$B$6)</x:f>
      </x:c>
      <x:c r="O463" s="22"/>
      <x:c r="P463" s="22"/>
      <x:c r="Q463" s="22" t="str">
        <x:f>IF(A463="","",MAX(O463-Settings!$B$7,0))</x:f>
      </x:c>
      <x:c r="R463" s="20" t="str">
        <x:f>IF(A463="","",Q463*Settings!$B$8)</x:f>
      </x:c>
      <x:c r="S463" s="20" t="str">
        <x:f>IF(A463="","",M463+N463)</x:f>
      </x:c>
      <x:c r="T463" s="20" t="str">
        <x:f>IF(A463="","",S463+R463)</x:f>
      </x:c>
    </x:row>
    <x:row r="464">
      <x:c r="A464" s="26"/>
      <x:c r="B464" s="26" t="str">
        <x:f>IF(A464="","",A464-MOD(WEEKDAY(A464,2)-5,7))</x:f>
      </x:c>
      <x:c r="C464" s="26" t="str">
        <x:f>IF(B464="","",B464+7)</x:f>
      </x:c>
      <x:c r="D464" t="str">
        <x:f>IF(A464="","",TEXT(A464,"dddd"))</x:f>
      </x:c>
      <x:c r="E464" s="24"/>
      <x:c r="F464" s="24"/>
      <x:c r="G464" s="32" t="n">
        <x:f>IF(AND(E464&lt;Settings!$B$11,F464&gt;Settings!$B$11),Settings!$B$12,0)</x:f>
        <x:v>0</x:v>
      </x:c>
      <x:c r="H464" s="32" t="n">
        <x:f>IF(AND(E464&lt;Settings!$B$13,F464&gt;Settings!$B$13),Settings!$B$14,0)</x:f>
        <x:v>0</x:v>
      </x:c>
      <x:c r="I464" s="32" t="str">
        <x:f>IF(A464="","",G464+H464)</x:f>
      </x:c>
      <x:c r="J464" s="22" t="str">
        <x:f>IF(A464="","",((F464-E464)*24)-(I464/60))</x:f>
      </x:c>
      <x:c r="K464" s="22" t="str">
        <x:f>IF(A464="","",MIN(J464,8))</x:f>
      </x:c>
      <x:c r="L464" s="22" t="str">
        <x:f>IF(A464="","",MAX(J464-8,0))</x:f>
      </x:c>
      <x:c r="M464" s="20" t="str">
        <x:f>IF(A464="","",K464*Settings!$B$5)</x:f>
      </x:c>
      <x:c r="N464" s="20" t="str">
        <x:f>IF(A464="","",L464*Settings!$B$6)</x:f>
      </x:c>
      <x:c r="O464" s="22"/>
      <x:c r="P464" s="22"/>
      <x:c r="Q464" s="22" t="str">
        <x:f>IF(A464="","",MAX(O464-Settings!$B$7,0))</x:f>
      </x:c>
      <x:c r="R464" s="20" t="str">
        <x:f>IF(A464="","",Q464*Settings!$B$8)</x:f>
      </x:c>
      <x:c r="S464" s="20" t="str">
        <x:f>IF(A464="","",M464+N464)</x:f>
      </x:c>
      <x:c r="T464" s="20" t="str">
        <x:f>IF(A464="","",S464+R464)</x:f>
      </x:c>
    </x:row>
    <x:row r="465">
      <x:c r="A465" s="26"/>
      <x:c r="B465" s="26" t="str">
        <x:f>IF(A465="","",A465-MOD(WEEKDAY(A465,2)-5,7))</x:f>
      </x:c>
      <x:c r="C465" s="26" t="str">
        <x:f>IF(B465="","",B465+7)</x:f>
      </x:c>
      <x:c r="D465" t="str">
        <x:f>IF(A465="","",TEXT(A465,"dddd"))</x:f>
      </x:c>
      <x:c r="E465" s="24"/>
      <x:c r="F465" s="24"/>
      <x:c r="G465" s="32" t="n">
        <x:f>IF(AND(E465&lt;Settings!$B$11,F465&gt;Settings!$B$11),Settings!$B$12,0)</x:f>
        <x:v>0</x:v>
      </x:c>
      <x:c r="H465" s="32" t="n">
        <x:f>IF(AND(E465&lt;Settings!$B$13,F465&gt;Settings!$B$13),Settings!$B$14,0)</x:f>
        <x:v>0</x:v>
      </x:c>
      <x:c r="I465" s="32" t="str">
        <x:f>IF(A465="","",G465+H465)</x:f>
      </x:c>
      <x:c r="J465" s="22" t="str">
        <x:f>IF(A465="","",((F465-E465)*24)-(I465/60))</x:f>
      </x:c>
      <x:c r="K465" s="22" t="str">
        <x:f>IF(A465="","",MIN(J465,8))</x:f>
      </x:c>
      <x:c r="L465" s="22" t="str">
        <x:f>IF(A465="","",MAX(J465-8,0))</x:f>
      </x:c>
      <x:c r="M465" s="20" t="str">
        <x:f>IF(A465="","",K465*Settings!$B$5)</x:f>
      </x:c>
      <x:c r="N465" s="20" t="str">
        <x:f>IF(A465="","",L465*Settings!$B$6)</x:f>
      </x:c>
      <x:c r="O465" s="22"/>
      <x:c r="P465" s="22"/>
      <x:c r="Q465" s="22" t="str">
        <x:f>IF(A465="","",MAX(O465-Settings!$B$7,0))</x:f>
      </x:c>
      <x:c r="R465" s="20" t="str">
        <x:f>IF(A465="","",Q465*Settings!$B$8)</x:f>
      </x:c>
      <x:c r="S465" s="20" t="str">
        <x:f>IF(A465="","",M465+N465)</x:f>
      </x:c>
      <x:c r="T465" s="20" t="str">
        <x:f>IF(A465="","",S465+R465)</x:f>
      </x:c>
    </x:row>
    <x:row r="466">
      <x:c r="A466" s="26"/>
      <x:c r="B466" s="26" t="str">
        <x:f>IF(A466="","",A466-MOD(WEEKDAY(A466,2)-5,7))</x:f>
      </x:c>
      <x:c r="C466" s="26" t="str">
        <x:f>IF(B466="","",B466+7)</x:f>
      </x:c>
      <x:c r="D466" t="str">
        <x:f>IF(A466="","",TEXT(A466,"dddd"))</x:f>
      </x:c>
      <x:c r="E466" s="24"/>
      <x:c r="F466" s="24"/>
      <x:c r="G466" s="32" t="n">
        <x:f>IF(AND(E466&lt;Settings!$B$11,F466&gt;Settings!$B$11),Settings!$B$12,0)</x:f>
        <x:v>0</x:v>
      </x:c>
      <x:c r="H466" s="32" t="n">
        <x:f>IF(AND(E466&lt;Settings!$B$13,F466&gt;Settings!$B$13),Settings!$B$14,0)</x:f>
        <x:v>0</x:v>
      </x:c>
      <x:c r="I466" s="32" t="str">
        <x:f>IF(A466="","",G466+H466)</x:f>
      </x:c>
      <x:c r="J466" s="22" t="str">
        <x:f>IF(A466="","",((F466-E466)*24)-(I466/60))</x:f>
      </x:c>
      <x:c r="K466" s="22" t="str">
        <x:f>IF(A466="","",MIN(J466,8))</x:f>
      </x:c>
      <x:c r="L466" s="22" t="str">
        <x:f>IF(A466="","",MAX(J466-8,0))</x:f>
      </x:c>
      <x:c r="M466" s="20" t="str">
        <x:f>IF(A466="","",K466*Settings!$B$5)</x:f>
      </x:c>
      <x:c r="N466" s="20" t="str">
        <x:f>IF(A466="","",L466*Settings!$B$6)</x:f>
      </x:c>
      <x:c r="O466" s="22"/>
      <x:c r="P466" s="22"/>
      <x:c r="Q466" s="22" t="str">
        <x:f>IF(A466="","",MAX(O466-Settings!$B$7,0))</x:f>
      </x:c>
      <x:c r="R466" s="20" t="str">
        <x:f>IF(A466="","",Q466*Settings!$B$8)</x:f>
      </x:c>
      <x:c r="S466" s="20" t="str">
        <x:f>IF(A466="","",M466+N466)</x:f>
      </x:c>
      <x:c r="T466" s="20" t="str">
        <x:f>IF(A466="","",S466+R466)</x:f>
      </x:c>
    </x:row>
    <x:row r="467">
      <x:c r="A467" s="26"/>
      <x:c r="B467" s="26" t="str">
        <x:f>IF(A467="","",A467-MOD(WEEKDAY(A467,2)-5,7))</x:f>
      </x:c>
      <x:c r="C467" s="26" t="str">
        <x:f>IF(B467="","",B467+7)</x:f>
      </x:c>
      <x:c r="D467" t="str">
        <x:f>IF(A467="","",TEXT(A467,"dddd"))</x:f>
      </x:c>
      <x:c r="E467" s="24"/>
      <x:c r="F467" s="24"/>
      <x:c r="G467" s="32" t="n">
        <x:f>IF(AND(E467&lt;Settings!$B$11,F467&gt;Settings!$B$11),Settings!$B$12,0)</x:f>
        <x:v>0</x:v>
      </x:c>
      <x:c r="H467" s="32" t="n">
        <x:f>IF(AND(E467&lt;Settings!$B$13,F467&gt;Settings!$B$13),Settings!$B$14,0)</x:f>
        <x:v>0</x:v>
      </x:c>
      <x:c r="I467" s="32" t="str">
        <x:f>IF(A467="","",G467+H467)</x:f>
      </x:c>
      <x:c r="J467" s="22" t="str">
        <x:f>IF(A467="","",((F467-E467)*24)-(I467/60))</x:f>
      </x:c>
      <x:c r="K467" s="22" t="str">
        <x:f>IF(A467="","",MIN(J467,8))</x:f>
      </x:c>
      <x:c r="L467" s="22" t="str">
        <x:f>IF(A467="","",MAX(J467-8,0))</x:f>
      </x:c>
      <x:c r="M467" s="20" t="str">
        <x:f>IF(A467="","",K467*Settings!$B$5)</x:f>
      </x:c>
      <x:c r="N467" s="20" t="str">
        <x:f>IF(A467="","",L467*Settings!$B$6)</x:f>
      </x:c>
      <x:c r="O467" s="22"/>
      <x:c r="P467" s="22"/>
      <x:c r="Q467" s="22" t="str">
        <x:f>IF(A467="","",MAX(O467-Settings!$B$7,0))</x:f>
      </x:c>
      <x:c r="R467" s="20" t="str">
        <x:f>IF(A467="","",Q467*Settings!$B$8)</x:f>
      </x:c>
      <x:c r="S467" s="20" t="str">
        <x:f>IF(A467="","",M467+N467)</x:f>
      </x:c>
      <x:c r="T467" s="20" t="str">
        <x:f>IF(A467="","",S467+R467)</x:f>
      </x:c>
    </x:row>
    <x:row r="468">
      <x:c r="A468" s="26"/>
      <x:c r="B468" s="26" t="str">
        <x:f>IF(A468="","",A468-MOD(WEEKDAY(A468,2)-5,7))</x:f>
      </x:c>
      <x:c r="C468" s="26" t="str">
        <x:f>IF(B468="","",B468+7)</x:f>
      </x:c>
      <x:c r="D468" t="str">
        <x:f>IF(A468="","",TEXT(A468,"dddd"))</x:f>
      </x:c>
      <x:c r="E468" s="24"/>
      <x:c r="F468" s="24"/>
      <x:c r="G468" s="32" t="n">
        <x:f>IF(AND(E468&lt;Settings!$B$11,F468&gt;Settings!$B$11),Settings!$B$12,0)</x:f>
        <x:v>0</x:v>
      </x:c>
      <x:c r="H468" s="32" t="n">
        <x:f>IF(AND(E468&lt;Settings!$B$13,F468&gt;Settings!$B$13),Settings!$B$14,0)</x:f>
        <x:v>0</x:v>
      </x:c>
      <x:c r="I468" s="32" t="str">
        <x:f>IF(A468="","",G468+H468)</x:f>
      </x:c>
      <x:c r="J468" s="22" t="str">
        <x:f>IF(A468="","",((F468-E468)*24)-(I468/60))</x:f>
      </x:c>
      <x:c r="K468" s="22" t="str">
        <x:f>IF(A468="","",MIN(J468,8))</x:f>
      </x:c>
      <x:c r="L468" s="22" t="str">
        <x:f>IF(A468="","",MAX(J468-8,0))</x:f>
      </x:c>
      <x:c r="M468" s="20" t="str">
        <x:f>IF(A468="","",K468*Settings!$B$5)</x:f>
      </x:c>
      <x:c r="N468" s="20" t="str">
        <x:f>IF(A468="","",L468*Settings!$B$6)</x:f>
      </x:c>
      <x:c r="O468" s="22"/>
      <x:c r="P468" s="22"/>
      <x:c r="Q468" s="22" t="str">
        <x:f>IF(A468="","",MAX(O468-Settings!$B$7,0))</x:f>
      </x:c>
      <x:c r="R468" s="20" t="str">
        <x:f>IF(A468="","",Q468*Settings!$B$8)</x:f>
      </x:c>
      <x:c r="S468" s="20" t="str">
        <x:f>IF(A468="","",M468+N468)</x:f>
      </x:c>
      <x:c r="T468" s="20" t="str">
        <x:f>IF(A468="","",S468+R468)</x:f>
      </x:c>
    </x:row>
    <x:row r="469">
      <x:c r="A469" s="26"/>
      <x:c r="B469" s="26" t="str">
        <x:f>IF(A469="","",A469-MOD(WEEKDAY(A469,2)-5,7))</x:f>
      </x:c>
      <x:c r="C469" s="26" t="str">
        <x:f>IF(B469="","",B469+7)</x:f>
      </x:c>
      <x:c r="D469" t="str">
        <x:f>IF(A469="","",TEXT(A469,"dddd"))</x:f>
      </x:c>
      <x:c r="E469" s="24"/>
      <x:c r="F469" s="24"/>
      <x:c r="G469" s="32" t="n">
        <x:f>IF(AND(E469&lt;Settings!$B$11,F469&gt;Settings!$B$11),Settings!$B$12,0)</x:f>
        <x:v>0</x:v>
      </x:c>
      <x:c r="H469" s="32" t="n">
        <x:f>IF(AND(E469&lt;Settings!$B$13,F469&gt;Settings!$B$13),Settings!$B$14,0)</x:f>
        <x:v>0</x:v>
      </x:c>
      <x:c r="I469" s="32" t="str">
        <x:f>IF(A469="","",G469+H469)</x:f>
      </x:c>
      <x:c r="J469" s="22" t="str">
        <x:f>IF(A469="","",((F469-E469)*24)-(I469/60))</x:f>
      </x:c>
      <x:c r="K469" s="22" t="str">
        <x:f>IF(A469="","",MIN(J469,8))</x:f>
      </x:c>
      <x:c r="L469" s="22" t="str">
        <x:f>IF(A469="","",MAX(J469-8,0))</x:f>
      </x:c>
      <x:c r="M469" s="20" t="str">
        <x:f>IF(A469="","",K469*Settings!$B$5)</x:f>
      </x:c>
      <x:c r="N469" s="20" t="str">
        <x:f>IF(A469="","",L469*Settings!$B$6)</x:f>
      </x:c>
      <x:c r="O469" s="22"/>
      <x:c r="P469" s="22"/>
      <x:c r="Q469" s="22" t="str">
        <x:f>IF(A469="","",MAX(O469-Settings!$B$7,0))</x:f>
      </x:c>
      <x:c r="R469" s="20" t="str">
        <x:f>IF(A469="","",Q469*Settings!$B$8)</x:f>
      </x:c>
      <x:c r="S469" s="20" t="str">
        <x:f>IF(A469="","",M469+N469)</x:f>
      </x:c>
      <x:c r="T469" s="20" t="str">
        <x:f>IF(A469="","",S469+R469)</x:f>
      </x:c>
    </x:row>
    <x:row r="470">
      <x:c r="A470" s="26"/>
      <x:c r="B470" s="26" t="str">
        <x:f>IF(A470="","",A470-MOD(WEEKDAY(A470,2)-5,7))</x:f>
      </x:c>
      <x:c r="C470" s="26" t="str">
        <x:f>IF(B470="","",B470+7)</x:f>
      </x:c>
      <x:c r="D470" t="str">
        <x:f>IF(A470="","",TEXT(A470,"dddd"))</x:f>
      </x:c>
      <x:c r="E470" s="24"/>
      <x:c r="F470" s="24"/>
      <x:c r="G470" s="32" t="n">
        <x:f>IF(AND(E470&lt;Settings!$B$11,F470&gt;Settings!$B$11),Settings!$B$12,0)</x:f>
        <x:v>0</x:v>
      </x:c>
      <x:c r="H470" s="32" t="n">
        <x:f>IF(AND(E470&lt;Settings!$B$13,F470&gt;Settings!$B$13),Settings!$B$14,0)</x:f>
        <x:v>0</x:v>
      </x:c>
      <x:c r="I470" s="32" t="str">
        <x:f>IF(A470="","",G470+H470)</x:f>
      </x:c>
      <x:c r="J470" s="22" t="str">
        <x:f>IF(A470="","",((F470-E470)*24)-(I470/60))</x:f>
      </x:c>
      <x:c r="K470" s="22" t="str">
        <x:f>IF(A470="","",MIN(J470,8))</x:f>
      </x:c>
      <x:c r="L470" s="22" t="str">
        <x:f>IF(A470="","",MAX(J470-8,0))</x:f>
      </x:c>
      <x:c r="M470" s="20" t="str">
        <x:f>IF(A470="","",K470*Settings!$B$5)</x:f>
      </x:c>
      <x:c r="N470" s="20" t="str">
        <x:f>IF(A470="","",L470*Settings!$B$6)</x:f>
      </x:c>
      <x:c r="O470" s="22"/>
      <x:c r="P470" s="22"/>
      <x:c r="Q470" s="22" t="str">
        <x:f>IF(A470="","",MAX(O470-Settings!$B$7,0))</x:f>
      </x:c>
      <x:c r="R470" s="20" t="str">
        <x:f>IF(A470="","",Q470*Settings!$B$8)</x:f>
      </x:c>
      <x:c r="S470" s="20" t="str">
        <x:f>IF(A470="","",M470+N470)</x:f>
      </x:c>
      <x:c r="T470" s="20" t="str">
        <x:f>IF(A470="","",S470+R470)</x:f>
      </x:c>
    </x:row>
    <x:row r="471">
      <x:c r="A471" s="26"/>
      <x:c r="B471" s="26" t="str">
        <x:f>IF(A471="","",A471-MOD(WEEKDAY(A471,2)-5,7))</x:f>
      </x:c>
      <x:c r="C471" s="26" t="str">
        <x:f>IF(B471="","",B471+7)</x:f>
      </x:c>
      <x:c r="D471" t="str">
        <x:f>IF(A471="","",TEXT(A471,"dddd"))</x:f>
      </x:c>
      <x:c r="E471" s="24"/>
      <x:c r="F471" s="24"/>
      <x:c r="G471" s="32" t="n">
        <x:f>IF(AND(E471&lt;Settings!$B$11,F471&gt;Settings!$B$11),Settings!$B$12,0)</x:f>
        <x:v>0</x:v>
      </x:c>
      <x:c r="H471" s="32" t="n">
        <x:f>IF(AND(E471&lt;Settings!$B$13,F471&gt;Settings!$B$13),Settings!$B$14,0)</x:f>
        <x:v>0</x:v>
      </x:c>
      <x:c r="I471" s="32" t="str">
        <x:f>IF(A471="","",G471+H471)</x:f>
      </x:c>
      <x:c r="J471" s="22" t="str">
        <x:f>IF(A471="","",((F471-E471)*24)-(I471/60))</x:f>
      </x:c>
      <x:c r="K471" s="22" t="str">
        <x:f>IF(A471="","",MIN(J471,8))</x:f>
      </x:c>
      <x:c r="L471" s="22" t="str">
        <x:f>IF(A471="","",MAX(J471-8,0))</x:f>
      </x:c>
      <x:c r="M471" s="20" t="str">
        <x:f>IF(A471="","",K471*Settings!$B$5)</x:f>
      </x:c>
      <x:c r="N471" s="20" t="str">
        <x:f>IF(A471="","",L471*Settings!$B$6)</x:f>
      </x:c>
      <x:c r="O471" s="22"/>
      <x:c r="P471" s="22"/>
      <x:c r="Q471" s="22" t="str">
        <x:f>IF(A471="","",MAX(O471-Settings!$B$7,0))</x:f>
      </x:c>
      <x:c r="R471" s="20" t="str">
        <x:f>IF(A471="","",Q471*Settings!$B$8)</x:f>
      </x:c>
      <x:c r="S471" s="20" t="str">
        <x:f>IF(A471="","",M471+N471)</x:f>
      </x:c>
      <x:c r="T471" s="20" t="str">
        <x:f>IF(A471="","",S471+R471)</x:f>
      </x:c>
    </x:row>
    <x:row r="472">
      <x:c r="A472" s="26"/>
      <x:c r="B472" s="26" t="str">
        <x:f>IF(A472="","",A472-MOD(WEEKDAY(A472,2)-5,7))</x:f>
      </x:c>
      <x:c r="C472" s="26" t="str">
        <x:f>IF(B472="","",B472+7)</x:f>
      </x:c>
      <x:c r="D472" t="str">
        <x:f>IF(A472="","",TEXT(A472,"dddd"))</x:f>
      </x:c>
      <x:c r="E472" s="24"/>
      <x:c r="F472" s="24"/>
      <x:c r="G472" s="32" t="n">
        <x:f>IF(AND(E472&lt;Settings!$B$11,F472&gt;Settings!$B$11),Settings!$B$12,0)</x:f>
        <x:v>0</x:v>
      </x:c>
      <x:c r="H472" s="32" t="n">
        <x:f>IF(AND(E472&lt;Settings!$B$13,F472&gt;Settings!$B$13),Settings!$B$14,0)</x:f>
        <x:v>0</x:v>
      </x:c>
      <x:c r="I472" s="32" t="str">
        <x:f>IF(A472="","",G472+H472)</x:f>
      </x:c>
      <x:c r="J472" s="22" t="str">
        <x:f>IF(A472="","",((F472-E472)*24)-(I472/60))</x:f>
      </x:c>
      <x:c r="K472" s="22" t="str">
        <x:f>IF(A472="","",MIN(J472,8))</x:f>
      </x:c>
      <x:c r="L472" s="22" t="str">
        <x:f>IF(A472="","",MAX(J472-8,0))</x:f>
      </x:c>
      <x:c r="M472" s="20" t="str">
        <x:f>IF(A472="","",K472*Settings!$B$5)</x:f>
      </x:c>
      <x:c r="N472" s="20" t="str">
        <x:f>IF(A472="","",L472*Settings!$B$6)</x:f>
      </x:c>
      <x:c r="O472" s="22"/>
      <x:c r="P472" s="22"/>
      <x:c r="Q472" s="22" t="str">
        <x:f>IF(A472="","",MAX(O472-Settings!$B$7,0))</x:f>
      </x:c>
      <x:c r="R472" s="20" t="str">
        <x:f>IF(A472="","",Q472*Settings!$B$8)</x:f>
      </x:c>
      <x:c r="S472" s="20" t="str">
        <x:f>IF(A472="","",M472+N472)</x:f>
      </x:c>
      <x:c r="T472" s="20" t="str">
        <x:f>IF(A472="","",S472+R472)</x:f>
      </x:c>
    </x:row>
    <x:row r="473">
      <x:c r="A473" s="26"/>
      <x:c r="B473" s="26" t="str">
        <x:f>IF(A473="","",A473-MOD(WEEKDAY(A473,2)-5,7))</x:f>
      </x:c>
      <x:c r="C473" s="26" t="str">
        <x:f>IF(B473="","",B473+7)</x:f>
      </x:c>
      <x:c r="D473" t="str">
        <x:f>IF(A473="","",TEXT(A473,"dddd"))</x:f>
      </x:c>
      <x:c r="E473" s="24"/>
      <x:c r="F473" s="24"/>
      <x:c r="G473" s="32" t="n">
        <x:f>IF(AND(E473&lt;Settings!$B$11,F473&gt;Settings!$B$11),Settings!$B$12,0)</x:f>
        <x:v>0</x:v>
      </x:c>
      <x:c r="H473" s="32" t="n">
        <x:f>IF(AND(E473&lt;Settings!$B$13,F473&gt;Settings!$B$13),Settings!$B$14,0)</x:f>
        <x:v>0</x:v>
      </x:c>
      <x:c r="I473" s="32" t="str">
        <x:f>IF(A473="","",G473+H473)</x:f>
      </x:c>
      <x:c r="J473" s="22" t="str">
        <x:f>IF(A473="","",((F473-E473)*24)-(I473/60))</x:f>
      </x:c>
      <x:c r="K473" s="22" t="str">
        <x:f>IF(A473="","",MIN(J473,8))</x:f>
      </x:c>
      <x:c r="L473" s="22" t="str">
        <x:f>IF(A473="","",MAX(J473-8,0))</x:f>
      </x:c>
      <x:c r="M473" s="20" t="str">
        <x:f>IF(A473="","",K473*Settings!$B$5)</x:f>
      </x:c>
      <x:c r="N473" s="20" t="str">
        <x:f>IF(A473="","",L473*Settings!$B$6)</x:f>
      </x:c>
      <x:c r="O473" s="22"/>
      <x:c r="P473" s="22"/>
      <x:c r="Q473" s="22" t="str">
        <x:f>IF(A473="","",MAX(O473-Settings!$B$7,0))</x:f>
      </x:c>
      <x:c r="R473" s="20" t="str">
        <x:f>IF(A473="","",Q473*Settings!$B$8)</x:f>
      </x:c>
      <x:c r="S473" s="20" t="str">
        <x:f>IF(A473="","",M473+N473)</x:f>
      </x:c>
      <x:c r="T473" s="20" t="str">
        <x:f>IF(A473="","",S473+R473)</x:f>
      </x:c>
    </x:row>
    <x:row r="474">
      <x:c r="A474" s="26"/>
      <x:c r="B474" s="26" t="str">
        <x:f>IF(A474="","",A474-MOD(WEEKDAY(A474,2)-5,7))</x:f>
      </x:c>
      <x:c r="C474" s="26" t="str">
        <x:f>IF(B474="","",B474+7)</x:f>
      </x:c>
      <x:c r="D474" t="str">
        <x:f>IF(A474="","",TEXT(A474,"dddd"))</x:f>
      </x:c>
      <x:c r="E474" s="24"/>
      <x:c r="F474" s="24"/>
      <x:c r="G474" s="32" t="n">
        <x:f>IF(AND(E474&lt;Settings!$B$11,F474&gt;Settings!$B$11),Settings!$B$12,0)</x:f>
        <x:v>0</x:v>
      </x:c>
      <x:c r="H474" s="32" t="n">
        <x:f>IF(AND(E474&lt;Settings!$B$13,F474&gt;Settings!$B$13),Settings!$B$14,0)</x:f>
        <x:v>0</x:v>
      </x:c>
      <x:c r="I474" s="32" t="str">
        <x:f>IF(A474="","",G474+H474)</x:f>
      </x:c>
      <x:c r="J474" s="22" t="str">
        <x:f>IF(A474="","",((F474-E474)*24)-(I474/60))</x:f>
      </x:c>
      <x:c r="K474" s="22" t="str">
        <x:f>IF(A474="","",MIN(J474,8))</x:f>
      </x:c>
      <x:c r="L474" s="22" t="str">
        <x:f>IF(A474="","",MAX(J474-8,0))</x:f>
      </x:c>
      <x:c r="M474" s="20" t="str">
        <x:f>IF(A474="","",K474*Settings!$B$5)</x:f>
      </x:c>
      <x:c r="N474" s="20" t="str">
        <x:f>IF(A474="","",L474*Settings!$B$6)</x:f>
      </x:c>
      <x:c r="O474" s="22"/>
      <x:c r="P474" s="22"/>
      <x:c r="Q474" s="22" t="str">
        <x:f>IF(A474="","",MAX(O474-Settings!$B$7,0))</x:f>
      </x:c>
      <x:c r="R474" s="20" t="str">
        <x:f>IF(A474="","",Q474*Settings!$B$8)</x:f>
      </x:c>
      <x:c r="S474" s="20" t="str">
        <x:f>IF(A474="","",M474+N474)</x:f>
      </x:c>
      <x:c r="T474" s="20" t="str">
        <x:f>IF(A474="","",S474+R474)</x:f>
      </x:c>
    </x:row>
    <x:row r="475">
      <x:c r="A475" s="26"/>
      <x:c r="B475" s="26" t="str">
        <x:f>IF(A475="","",A475-MOD(WEEKDAY(A475,2)-5,7))</x:f>
      </x:c>
      <x:c r="C475" s="26" t="str">
        <x:f>IF(B475="","",B475+7)</x:f>
      </x:c>
      <x:c r="D475" t="str">
        <x:f>IF(A475="","",TEXT(A475,"dddd"))</x:f>
      </x:c>
      <x:c r="E475" s="24"/>
      <x:c r="F475" s="24"/>
      <x:c r="G475" s="32" t="n">
        <x:f>IF(AND(E475&lt;Settings!$B$11,F475&gt;Settings!$B$11),Settings!$B$12,0)</x:f>
        <x:v>0</x:v>
      </x:c>
      <x:c r="H475" s="32" t="n">
        <x:f>IF(AND(E475&lt;Settings!$B$13,F475&gt;Settings!$B$13),Settings!$B$14,0)</x:f>
        <x:v>0</x:v>
      </x:c>
      <x:c r="I475" s="32" t="str">
        <x:f>IF(A475="","",G475+H475)</x:f>
      </x:c>
      <x:c r="J475" s="22" t="str">
        <x:f>IF(A475="","",((F475-E475)*24)-(I475/60))</x:f>
      </x:c>
      <x:c r="K475" s="22" t="str">
        <x:f>IF(A475="","",MIN(J475,8))</x:f>
      </x:c>
      <x:c r="L475" s="22" t="str">
        <x:f>IF(A475="","",MAX(J475-8,0))</x:f>
      </x:c>
      <x:c r="M475" s="20" t="str">
        <x:f>IF(A475="","",K475*Settings!$B$5)</x:f>
      </x:c>
      <x:c r="N475" s="20" t="str">
        <x:f>IF(A475="","",L475*Settings!$B$6)</x:f>
      </x:c>
      <x:c r="O475" s="22"/>
      <x:c r="P475" s="22"/>
      <x:c r="Q475" s="22" t="str">
        <x:f>IF(A475="","",MAX(O475-Settings!$B$7,0))</x:f>
      </x:c>
      <x:c r="R475" s="20" t="str">
        <x:f>IF(A475="","",Q475*Settings!$B$8)</x:f>
      </x:c>
      <x:c r="S475" s="20" t="str">
        <x:f>IF(A475="","",M475+N475)</x:f>
      </x:c>
      <x:c r="T475" s="20" t="str">
        <x:f>IF(A475="","",S475+R475)</x:f>
      </x:c>
    </x:row>
    <x:row r="476">
      <x:c r="A476" s="26"/>
      <x:c r="B476" s="26" t="str">
        <x:f>IF(A476="","",A476-MOD(WEEKDAY(A476,2)-5,7))</x:f>
      </x:c>
      <x:c r="C476" s="26" t="str">
        <x:f>IF(B476="","",B476+7)</x:f>
      </x:c>
      <x:c r="D476" t="str">
        <x:f>IF(A476="","",TEXT(A476,"dddd"))</x:f>
      </x:c>
      <x:c r="E476" s="24"/>
      <x:c r="F476" s="24"/>
      <x:c r="G476" s="32" t="n">
        <x:f>IF(AND(E476&lt;Settings!$B$11,F476&gt;Settings!$B$11),Settings!$B$12,0)</x:f>
        <x:v>0</x:v>
      </x:c>
      <x:c r="H476" s="32" t="n">
        <x:f>IF(AND(E476&lt;Settings!$B$13,F476&gt;Settings!$B$13),Settings!$B$14,0)</x:f>
        <x:v>0</x:v>
      </x:c>
      <x:c r="I476" s="32" t="str">
        <x:f>IF(A476="","",G476+H476)</x:f>
      </x:c>
      <x:c r="J476" s="22" t="str">
        <x:f>IF(A476="","",((F476-E476)*24)-(I476/60))</x:f>
      </x:c>
      <x:c r="K476" s="22" t="str">
        <x:f>IF(A476="","",MIN(J476,8))</x:f>
      </x:c>
      <x:c r="L476" s="22" t="str">
        <x:f>IF(A476="","",MAX(J476-8,0))</x:f>
      </x:c>
      <x:c r="M476" s="20" t="str">
        <x:f>IF(A476="","",K476*Settings!$B$5)</x:f>
      </x:c>
      <x:c r="N476" s="20" t="str">
        <x:f>IF(A476="","",L476*Settings!$B$6)</x:f>
      </x:c>
      <x:c r="O476" s="22"/>
      <x:c r="P476" s="22"/>
      <x:c r="Q476" s="22" t="str">
        <x:f>IF(A476="","",MAX(O476-Settings!$B$7,0))</x:f>
      </x:c>
      <x:c r="R476" s="20" t="str">
        <x:f>IF(A476="","",Q476*Settings!$B$8)</x:f>
      </x:c>
      <x:c r="S476" s="20" t="str">
        <x:f>IF(A476="","",M476+N476)</x:f>
      </x:c>
      <x:c r="T476" s="20" t="str">
        <x:f>IF(A476="","",S476+R476)</x:f>
      </x:c>
    </x:row>
    <x:row r="477">
      <x:c r="A477" s="26"/>
      <x:c r="B477" s="26" t="str">
        <x:f>IF(A477="","",A477-MOD(WEEKDAY(A477,2)-5,7))</x:f>
      </x:c>
      <x:c r="C477" s="26" t="str">
        <x:f>IF(B477="","",B477+7)</x:f>
      </x:c>
      <x:c r="D477" t="str">
        <x:f>IF(A477="","",TEXT(A477,"dddd"))</x:f>
      </x:c>
      <x:c r="E477" s="24"/>
      <x:c r="F477" s="24"/>
      <x:c r="G477" s="32" t="n">
        <x:f>IF(AND(E477&lt;Settings!$B$11,F477&gt;Settings!$B$11),Settings!$B$12,0)</x:f>
        <x:v>0</x:v>
      </x:c>
      <x:c r="H477" s="32" t="n">
        <x:f>IF(AND(E477&lt;Settings!$B$13,F477&gt;Settings!$B$13),Settings!$B$14,0)</x:f>
        <x:v>0</x:v>
      </x:c>
      <x:c r="I477" s="32" t="str">
        <x:f>IF(A477="","",G477+H477)</x:f>
      </x:c>
      <x:c r="J477" s="22" t="str">
        <x:f>IF(A477="","",((F477-E477)*24)-(I477/60))</x:f>
      </x:c>
      <x:c r="K477" s="22" t="str">
        <x:f>IF(A477="","",MIN(J477,8))</x:f>
      </x:c>
      <x:c r="L477" s="22" t="str">
        <x:f>IF(A477="","",MAX(J477-8,0))</x:f>
      </x:c>
      <x:c r="M477" s="20" t="str">
        <x:f>IF(A477="","",K477*Settings!$B$5)</x:f>
      </x:c>
      <x:c r="N477" s="20" t="str">
        <x:f>IF(A477="","",L477*Settings!$B$6)</x:f>
      </x:c>
      <x:c r="O477" s="22"/>
      <x:c r="P477" s="22"/>
      <x:c r="Q477" s="22" t="str">
        <x:f>IF(A477="","",MAX(O477-Settings!$B$7,0))</x:f>
      </x:c>
      <x:c r="R477" s="20" t="str">
        <x:f>IF(A477="","",Q477*Settings!$B$8)</x:f>
      </x:c>
      <x:c r="S477" s="20" t="str">
        <x:f>IF(A477="","",M477+N477)</x:f>
      </x:c>
      <x:c r="T477" s="20" t="str">
        <x:f>IF(A477="","",S477+R477)</x:f>
      </x:c>
    </x:row>
    <x:row r="478">
      <x:c r="A478" s="26"/>
      <x:c r="B478" s="26" t="str">
        <x:f>IF(A478="","",A478-MOD(WEEKDAY(A478,2)-5,7))</x:f>
      </x:c>
      <x:c r="C478" s="26" t="str">
        <x:f>IF(B478="","",B478+7)</x:f>
      </x:c>
      <x:c r="D478" t="str">
        <x:f>IF(A478="","",TEXT(A478,"dddd"))</x:f>
      </x:c>
      <x:c r="E478" s="24"/>
      <x:c r="F478" s="24"/>
      <x:c r="G478" s="32" t="n">
        <x:f>IF(AND(E478&lt;Settings!$B$11,F478&gt;Settings!$B$11),Settings!$B$12,0)</x:f>
        <x:v>0</x:v>
      </x:c>
      <x:c r="H478" s="32" t="n">
        <x:f>IF(AND(E478&lt;Settings!$B$13,F478&gt;Settings!$B$13),Settings!$B$14,0)</x:f>
        <x:v>0</x:v>
      </x:c>
      <x:c r="I478" s="32" t="str">
        <x:f>IF(A478="","",G478+H478)</x:f>
      </x:c>
      <x:c r="J478" s="22" t="str">
        <x:f>IF(A478="","",((F478-E478)*24)-(I478/60))</x:f>
      </x:c>
      <x:c r="K478" s="22" t="str">
        <x:f>IF(A478="","",MIN(J478,8))</x:f>
      </x:c>
      <x:c r="L478" s="22" t="str">
        <x:f>IF(A478="","",MAX(J478-8,0))</x:f>
      </x:c>
      <x:c r="M478" s="20" t="str">
        <x:f>IF(A478="","",K478*Settings!$B$5)</x:f>
      </x:c>
      <x:c r="N478" s="20" t="str">
        <x:f>IF(A478="","",L478*Settings!$B$6)</x:f>
      </x:c>
      <x:c r="O478" s="22"/>
      <x:c r="P478" s="22"/>
      <x:c r="Q478" s="22" t="str">
        <x:f>IF(A478="","",MAX(O478-Settings!$B$7,0))</x:f>
      </x:c>
      <x:c r="R478" s="20" t="str">
        <x:f>IF(A478="","",Q478*Settings!$B$8)</x:f>
      </x:c>
      <x:c r="S478" s="20" t="str">
        <x:f>IF(A478="","",M478+N478)</x:f>
      </x:c>
      <x:c r="T478" s="20" t="str">
        <x:f>IF(A478="","",S478+R478)</x:f>
      </x:c>
    </x:row>
    <x:row r="479">
      <x:c r="A479" s="26"/>
      <x:c r="B479" s="26" t="str">
        <x:f>IF(A479="","",A479-MOD(WEEKDAY(A479,2)-5,7))</x:f>
      </x:c>
      <x:c r="C479" s="26" t="str">
        <x:f>IF(B479="","",B479+7)</x:f>
      </x:c>
      <x:c r="D479" t="str">
        <x:f>IF(A479="","",TEXT(A479,"dddd"))</x:f>
      </x:c>
      <x:c r="E479" s="24"/>
      <x:c r="F479" s="24"/>
      <x:c r="G479" s="32" t="n">
        <x:f>IF(AND(E479&lt;Settings!$B$11,F479&gt;Settings!$B$11),Settings!$B$12,0)</x:f>
        <x:v>0</x:v>
      </x:c>
      <x:c r="H479" s="32" t="n">
        <x:f>IF(AND(E479&lt;Settings!$B$13,F479&gt;Settings!$B$13),Settings!$B$14,0)</x:f>
        <x:v>0</x:v>
      </x:c>
      <x:c r="I479" s="32" t="str">
        <x:f>IF(A479="","",G479+H479)</x:f>
      </x:c>
      <x:c r="J479" s="22" t="str">
        <x:f>IF(A479="","",((F479-E479)*24)-(I479/60))</x:f>
      </x:c>
      <x:c r="K479" s="22" t="str">
        <x:f>IF(A479="","",MIN(J479,8))</x:f>
      </x:c>
      <x:c r="L479" s="22" t="str">
        <x:f>IF(A479="","",MAX(J479-8,0))</x:f>
      </x:c>
      <x:c r="M479" s="20" t="str">
        <x:f>IF(A479="","",K479*Settings!$B$5)</x:f>
      </x:c>
      <x:c r="N479" s="20" t="str">
        <x:f>IF(A479="","",L479*Settings!$B$6)</x:f>
      </x:c>
      <x:c r="O479" s="22"/>
      <x:c r="P479" s="22"/>
      <x:c r="Q479" s="22" t="str">
        <x:f>IF(A479="","",MAX(O479-Settings!$B$7,0))</x:f>
      </x:c>
      <x:c r="R479" s="20" t="str">
        <x:f>IF(A479="","",Q479*Settings!$B$8)</x:f>
      </x:c>
      <x:c r="S479" s="20" t="str">
        <x:f>IF(A479="","",M479+N479)</x:f>
      </x:c>
      <x:c r="T479" s="20" t="str">
        <x:f>IF(A479="","",S479+R479)</x:f>
      </x:c>
    </x:row>
    <x:row r="480">
      <x:c r="A480" s="26"/>
      <x:c r="B480" s="26" t="str">
        <x:f>IF(A480="","",A480-MOD(WEEKDAY(A480,2)-5,7))</x:f>
      </x:c>
      <x:c r="C480" s="26" t="str">
        <x:f>IF(B480="","",B480+7)</x:f>
      </x:c>
      <x:c r="D480" t="str">
        <x:f>IF(A480="","",TEXT(A480,"dddd"))</x:f>
      </x:c>
      <x:c r="E480" s="24"/>
      <x:c r="F480" s="24"/>
      <x:c r="G480" s="32" t="n">
        <x:f>IF(AND(E480&lt;Settings!$B$11,F480&gt;Settings!$B$11),Settings!$B$12,0)</x:f>
        <x:v>0</x:v>
      </x:c>
      <x:c r="H480" s="32" t="n">
        <x:f>IF(AND(E480&lt;Settings!$B$13,F480&gt;Settings!$B$13),Settings!$B$14,0)</x:f>
        <x:v>0</x:v>
      </x:c>
      <x:c r="I480" s="32" t="str">
        <x:f>IF(A480="","",G480+H480)</x:f>
      </x:c>
      <x:c r="J480" s="22" t="str">
        <x:f>IF(A480="","",((F480-E480)*24)-(I480/60))</x:f>
      </x:c>
      <x:c r="K480" s="22" t="str">
        <x:f>IF(A480="","",MIN(J480,8))</x:f>
      </x:c>
      <x:c r="L480" s="22" t="str">
        <x:f>IF(A480="","",MAX(J480-8,0))</x:f>
      </x:c>
      <x:c r="M480" s="20" t="str">
        <x:f>IF(A480="","",K480*Settings!$B$5)</x:f>
      </x:c>
      <x:c r="N480" s="20" t="str">
        <x:f>IF(A480="","",L480*Settings!$B$6)</x:f>
      </x:c>
      <x:c r="O480" s="22"/>
      <x:c r="P480" s="22"/>
      <x:c r="Q480" s="22" t="str">
        <x:f>IF(A480="","",MAX(O480-Settings!$B$7,0))</x:f>
      </x:c>
      <x:c r="R480" s="20" t="str">
        <x:f>IF(A480="","",Q480*Settings!$B$8)</x:f>
      </x:c>
      <x:c r="S480" s="20" t="str">
        <x:f>IF(A480="","",M480+N480)</x:f>
      </x:c>
      <x:c r="T480" s="20" t="str">
        <x:f>IF(A480="","",S480+R480)</x:f>
      </x:c>
    </x:row>
    <x:row r="481">
      <x:c r="A481" s="26"/>
      <x:c r="B481" s="26" t="str">
        <x:f>IF(A481="","",A481-MOD(WEEKDAY(A481,2)-5,7))</x:f>
      </x:c>
      <x:c r="C481" s="26" t="str">
        <x:f>IF(B481="","",B481+7)</x:f>
      </x:c>
      <x:c r="D481" t="str">
        <x:f>IF(A481="","",TEXT(A481,"dddd"))</x:f>
      </x:c>
      <x:c r="E481" s="24"/>
      <x:c r="F481" s="24"/>
      <x:c r="G481" s="32" t="n">
        <x:f>IF(AND(E481&lt;Settings!$B$11,F481&gt;Settings!$B$11),Settings!$B$12,0)</x:f>
        <x:v>0</x:v>
      </x:c>
      <x:c r="H481" s="32" t="n">
        <x:f>IF(AND(E481&lt;Settings!$B$13,F481&gt;Settings!$B$13),Settings!$B$14,0)</x:f>
        <x:v>0</x:v>
      </x:c>
      <x:c r="I481" s="32" t="str">
        <x:f>IF(A481="","",G481+H481)</x:f>
      </x:c>
      <x:c r="J481" s="22" t="str">
        <x:f>IF(A481="","",((F481-E481)*24)-(I481/60))</x:f>
      </x:c>
      <x:c r="K481" s="22" t="str">
        <x:f>IF(A481="","",MIN(J481,8))</x:f>
      </x:c>
      <x:c r="L481" s="22" t="str">
        <x:f>IF(A481="","",MAX(J481-8,0))</x:f>
      </x:c>
      <x:c r="M481" s="20" t="str">
        <x:f>IF(A481="","",K481*Settings!$B$5)</x:f>
      </x:c>
      <x:c r="N481" s="20" t="str">
        <x:f>IF(A481="","",L481*Settings!$B$6)</x:f>
      </x:c>
      <x:c r="O481" s="22"/>
      <x:c r="P481" s="22"/>
      <x:c r="Q481" s="22" t="str">
        <x:f>IF(A481="","",MAX(O481-Settings!$B$7,0))</x:f>
      </x:c>
      <x:c r="R481" s="20" t="str">
        <x:f>IF(A481="","",Q481*Settings!$B$8)</x:f>
      </x:c>
      <x:c r="S481" s="20" t="str">
        <x:f>IF(A481="","",M481+N481)</x:f>
      </x:c>
      <x:c r="T481" s="20" t="str">
        <x:f>IF(A481="","",S481+R481)</x:f>
      </x:c>
    </x:row>
    <x:row r="482">
      <x:c r="A482" s="26"/>
      <x:c r="B482" s="26" t="str">
        <x:f>IF(A482="","",A482-MOD(WEEKDAY(A482,2)-5,7))</x:f>
      </x:c>
      <x:c r="C482" s="26" t="str">
        <x:f>IF(B482="","",B482+7)</x:f>
      </x:c>
      <x:c r="D482" t="str">
        <x:f>IF(A482="","",TEXT(A482,"dddd"))</x:f>
      </x:c>
      <x:c r="E482" s="24"/>
      <x:c r="F482" s="24"/>
      <x:c r="G482" s="32" t="n">
        <x:f>IF(AND(E482&lt;Settings!$B$11,F482&gt;Settings!$B$11),Settings!$B$12,0)</x:f>
        <x:v>0</x:v>
      </x:c>
      <x:c r="H482" s="32" t="n">
        <x:f>IF(AND(E482&lt;Settings!$B$13,F482&gt;Settings!$B$13),Settings!$B$14,0)</x:f>
        <x:v>0</x:v>
      </x:c>
      <x:c r="I482" s="32" t="str">
        <x:f>IF(A482="","",G482+H482)</x:f>
      </x:c>
      <x:c r="J482" s="22" t="str">
        <x:f>IF(A482="","",((F482-E482)*24)-(I482/60))</x:f>
      </x:c>
      <x:c r="K482" s="22" t="str">
        <x:f>IF(A482="","",MIN(J482,8))</x:f>
      </x:c>
      <x:c r="L482" s="22" t="str">
        <x:f>IF(A482="","",MAX(J482-8,0))</x:f>
      </x:c>
      <x:c r="M482" s="20" t="str">
        <x:f>IF(A482="","",K482*Settings!$B$5)</x:f>
      </x:c>
      <x:c r="N482" s="20" t="str">
        <x:f>IF(A482="","",L482*Settings!$B$6)</x:f>
      </x:c>
      <x:c r="O482" s="22"/>
      <x:c r="P482" s="22"/>
      <x:c r="Q482" s="22" t="str">
        <x:f>IF(A482="","",MAX(O482-Settings!$B$7,0))</x:f>
      </x:c>
      <x:c r="R482" s="20" t="str">
        <x:f>IF(A482="","",Q482*Settings!$B$8)</x:f>
      </x:c>
      <x:c r="S482" s="20" t="str">
        <x:f>IF(A482="","",M482+N482)</x:f>
      </x:c>
      <x:c r="T482" s="20" t="str">
        <x:f>IF(A482="","",S482+R482)</x:f>
      </x:c>
    </x:row>
    <x:row r="483">
      <x:c r="A483" s="26"/>
      <x:c r="B483" s="26" t="str">
        <x:f>IF(A483="","",A483-MOD(WEEKDAY(A483,2)-5,7))</x:f>
      </x:c>
      <x:c r="C483" s="26" t="str">
        <x:f>IF(B483="","",B483+7)</x:f>
      </x:c>
      <x:c r="D483" t="str">
        <x:f>IF(A483="","",TEXT(A483,"dddd"))</x:f>
      </x:c>
      <x:c r="E483" s="24"/>
      <x:c r="F483" s="24"/>
      <x:c r="G483" s="32" t="n">
        <x:f>IF(AND(E483&lt;Settings!$B$11,F483&gt;Settings!$B$11),Settings!$B$12,0)</x:f>
        <x:v>0</x:v>
      </x:c>
      <x:c r="H483" s="32" t="n">
        <x:f>IF(AND(E483&lt;Settings!$B$13,F483&gt;Settings!$B$13),Settings!$B$14,0)</x:f>
        <x:v>0</x:v>
      </x:c>
      <x:c r="I483" s="32" t="str">
        <x:f>IF(A483="","",G483+H483)</x:f>
      </x:c>
      <x:c r="J483" s="22" t="str">
        <x:f>IF(A483="","",((F483-E483)*24)-(I483/60))</x:f>
      </x:c>
      <x:c r="K483" s="22" t="str">
        <x:f>IF(A483="","",MIN(J483,8))</x:f>
      </x:c>
      <x:c r="L483" s="22" t="str">
        <x:f>IF(A483="","",MAX(J483-8,0))</x:f>
      </x:c>
      <x:c r="M483" s="20" t="str">
        <x:f>IF(A483="","",K483*Settings!$B$5)</x:f>
      </x:c>
      <x:c r="N483" s="20" t="str">
        <x:f>IF(A483="","",L483*Settings!$B$6)</x:f>
      </x:c>
      <x:c r="O483" s="22"/>
      <x:c r="P483" s="22"/>
      <x:c r="Q483" s="22" t="str">
        <x:f>IF(A483="","",MAX(O483-Settings!$B$7,0))</x:f>
      </x:c>
      <x:c r="R483" s="20" t="str">
        <x:f>IF(A483="","",Q483*Settings!$B$8)</x:f>
      </x:c>
      <x:c r="S483" s="20" t="str">
        <x:f>IF(A483="","",M483+N483)</x:f>
      </x:c>
      <x:c r="T483" s="20" t="str">
        <x:f>IF(A483="","",S483+R483)</x:f>
      </x:c>
    </x:row>
    <x:row r="484">
      <x:c r="A484" s="26"/>
      <x:c r="B484" s="26" t="str">
        <x:f>IF(A484="","",A484-MOD(WEEKDAY(A484,2)-5,7))</x:f>
      </x:c>
      <x:c r="C484" s="26" t="str">
        <x:f>IF(B484="","",B484+7)</x:f>
      </x:c>
      <x:c r="D484" t="str">
        <x:f>IF(A484="","",TEXT(A484,"dddd"))</x:f>
      </x:c>
      <x:c r="E484" s="24"/>
      <x:c r="F484" s="24"/>
      <x:c r="G484" s="32" t="n">
        <x:f>IF(AND(E484&lt;Settings!$B$11,F484&gt;Settings!$B$11),Settings!$B$12,0)</x:f>
        <x:v>0</x:v>
      </x:c>
      <x:c r="H484" s="32" t="n">
        <x:f>IF(AND(E484&lt;Settings!$B$13,F484&gt;Settings!$B$13),Settings!$B$14,0)</x:f>
        <x:v>0</x:v>
      </x:c>
      <x:c r="I484" s="32" t="str">
        <x:f>IF(A484="","",G484+H484)</x:f>
      </x:c>
      <x:c r="J484" s="22" t="str">
        <x:f>IF(A484="","",((F484-E484)*24)-(I484/60))</x:f>
      </x:c>
      <x:c r="K484" s="22" t="str">
        <x:f>IF(A484="","",MIN(J484,8))</x:f>
      </x:c>
      <x:c r="L484" s="22" t="str">
        <x:f>IF(A484="","",MAX(J484-8,0))</x:f>
      </x:c>
      <x:c r="M484" s="20" t="str">
        <x:f>IF(A484="","",K484*Settings!$B$5)</x:f>
      </x:c>
      <x:c r="N484" s="20" t="str">
        <x:f>IF(A484="","",L484*Settings!$B$6)</x:f>
      </x:c>
      <x:c r="O484" s="22"/>
      <x:c r="P484" s="22"/>
      <x:c r="Q484" s="22" t="str">
        <x:f>IF(A484="","",MAX(O484-Settings!$B$7,0))</x:f>
      </x:c>
      <x:c r="R484" s="20" t="str">
        <x:f>IF(A484="","",Q484*Settings!$B$8)</x:f>
      </x:c>
      <x:c r="S484" s="20" t="str">
        <x:f>IF(A484="","",M484+N484)</x:f>
      </x:c>
      <x:c r="T484" s="20" t="str">
        <x:f>IF(A484="","",S484+R484)</x:f>
      </x:c>
    </x:row>
    <x:row r="485">
      <x:c r="A485" s="26"/>
      <x:c r="B485" s="26" t="str">
        <x:f>IF(A485="","",A485-MOD(WEEKDAY(A485,2)-5,7))</x:f>
      </x:c>
      <x:c r="C485" s="26" t="str">
        <x:f>IF(B485="","",B485+7)</x:f>
      </x:c>
      <x:c r="D485" t="str">
        <x:f>IF(A485="","",TEXT(A485,"dddd"))</x:f>
      </x:c>
      <x:c r="E485" s="24"/>
      <x:c r="F485" s="24"/>
      <x:c r="G485" s="32" t="n">
        <x:f>IF(AND(E485&lt;Settings!$B$11,F485&gt;Settings!$B$11),Settings!$B$12,0)</x:f>
        <x:v>0</x:v>
      </x:c>
      <x:c r="H485" s="32" t="n">
        <x:f>IF(AND(E485&lt;Settings!$B$13,F485&gt;Settings!$B$13),Settings!$B$14,0)</x:f>
        <x:v>0</x:v>
      </x:c>
      <x:c r="I485" s="32" t="str">
        <x:f>IF(A485="","",G485+H485)</x:f>
      </x:c>
      <x:c r="J485" s="22" t="str">
        <x:f>IF(A485="","",((F485-E485)*24)-(I485/60))</x:f>
      </x:c>
      <x:c r="K485" s="22" t="str">
        <x:f>IF(A485="","",MIN(J485,8))</x:f>
      </x:c>
      <x:c r="L485" s="22" t="str">
        <x:f>IF(A485="","",MAX(J485-8,0))</x:f>
      </x:c>
      <x:c r="M485" s="20" t="str">
        <x:f>IF(A485="","",K485*Settings!$B$5)</x:f>
      </x:c>
      <x:c r="N485" s="20" t="str">
        <x:f>IF(A485="","",L485*Settings!$B$6)</x:f>
      </x:c>
      <x:c r="O485" s="22"/>
      <x:c r="P485" s="22"/>
      <x:c r="Q485" s="22" t="str">
        <x:f>IF(A485="","",MAX(O485-Settings!$B$7,0))</x:f>
      </x:c>
      <x:c r="R485" s="20" t="str">
        <x:f>IF(A485="","",Q485*Settings!$B$8)</x:f>
      </x:c>
      <x:c r="S485" s="20" t="str">
        <x:f>IF(A485="","",M485+N485)</x:f>
      </x:c>
      <x:c r="T485" s="20" t="str">
        <x:f>IF(A485="","",S485+R485)</x:f>
      </x:c>
    </x:row>
    <x:row r="486">
      <x:c r="A486" s="26"/>
      <x:c r="B486" s="26" t="str">
        <x:f>IF(A486="","",A486-MOD(WEEKDAY(A486,2)-5,7))</x:f>
      </x:c>
      <x:c r="C486" s="26" t="str">
        <x:f>IF(B486="","",B486+7)</x:f>
      </x:c>
      <x:c r="D486" t="str">
        <x:f>IF(A486="","",TEXT(A486,"dddd"))</x:f>
      </x:c>
      <x:c r="E486" s="24"/>
      <x:c r="F486" s="24"/>
      <x:c r="G486" s="32" t="n">
        <x:f>IF(AND(E486&lt;Settings!$B$11,F486&gt;Settings!$B$11),Settings!$B$12,0)</x:f>
        <x:v>0</x:v>
      </x:c>
      <x:c r="H486" s="32" t="n">
        <x:f>IF(AND(E486&lt;Settings!$B$13,F486&gt;Settings!$B$13),Settings!$B$14,0)</x:f>
        <x:v>0</x:v>
      </x:c>
      <x:c r="I486" s="32" t="str">
        <x:f>IF(A486="","",G486+H486)</x:f>
      </x:c>
      <x:c r="J486" s="22" t="str">
        <x:f>IF(A486="","",((F486-E486)*24)-(I486/60))</x:f>
      </x:c>
      <x:c r="K486" s="22" t="str">
        <x:f>IF(A486="","",MIN(J486,8))</x:f>
      </x:c>
      <x:c r="L486" s="22" t="str">
        <x:f>IF(A486="","",MAX(J486-8,0))</x:f>
      </x:c>
      <x:c r="M486" s="20" t="str">
        <x:f>IF(A486="","",K486*Settings!$B$5)</x:f>
      </x:c>
      <x:c r="N486" s="20" t="str">
        <x:f>IF(A486="","",L486*Settings!$B$6)</x:f>
      </x:c>
      <x:c r="O486" s="22"/>
      <x:c r="P486" s="22"/>
      <x:c r="Q486" s="22" t="str">
        <x:f>IF(A486="","",MAX(O486-Settings!$B$7,0))</x:f>
      </x:c>
      <x:c r="R486" s="20" t="str">
        <x:f>IF(A486="","",Q486*Settings!$B$8)</x:f>
      </x:c>
      <x:c r="S486" s="20" t="str">
        <x:f>IF(A486="","",M486+N486)</x:f>
      </x:c>
      <x:c r="T486" s="20" t="str">
        <x:f>IF(A486="","",S486+R486)</x:f>
      </x:c>
    </x:row>
    <x:row r="487">
      <x:c r="A487" s="26"/>
      <x:c r="B487" s="26" t="str">
        <x:f>IF(A487="","",A487-MOD(WEEKDAY(A487,2)-5,7))</x:f>
      </x:c>
      <x:c r="C487" s="26" t="str">
        <x:f>IF(B487="","",B487+7)</x:f>
      </x:c>
      <x:c r="D487" t="str">
        <x:f>IF(A487="","",TEXT(A487,"dddd"))</x:f>
      </x:c>
      <x:c r="E487" s="24"/>
      <x:c r="F487" s="24"/>
      <x:c r="G487" s="32" t="n">
        <x:f>IF(AND(E487&lt;Settings!$B$11,F487&gt;Settings!$B$11),Settings!$B$12,0)</x:f>
        <x:v>0</x:v>
      </x:c>
      <x:c r="H487" s="32" t="n">
        <x:f>IF(AND(E487&lt;Settings!$B$13,F487&gt;Settings!$B$13),Settings!$B$14,0)</x:f>
        <x:v>0</x:v>
      </x:c>
      <x:c r="I487" s="32" t="str">
        <x:f>IF(A487="","",G487+H487)</x:f>
      </x:c>
      <x:c r="J487" s="22" t="str">
        <x:f>IF(A487="","",((F487-E487)*24)-(I487/60))</x:f>
      </x:c>
      <x:c r="K487" s="22" t="str">
        <x:f>IF(A487="","",MIN(J487,8))</x:f>
      </x:c>
      <x:c r="L487" s="22" t="str">
        <x:f>IF(A487="","",MAX(J487-8,0))</x:f>
      </x:c>
      <x:c r="M487" s="20" t="str">
        <x:f>IF(A487="","",K487*Settings!$B$5)</x:f>
      </x:c>
      <x:c r="N487" s="20" t="str">
        <x:f>IF(A487="","",L487*Settings!$B$6)</x:f>
      </x:c>
      <x:c r="O487" s="22"/>
      <x:c r="P487" s="22"/>
      <x:c r="Q487" s="22" t="str">
        <x:f>IF(A487="","",MAX(O487-Settings!$B$7,0))</x:f>
      </x:c>
      <x:c r="R487" s="20" t="str">
        <x:f>IF(A487="","",Q487*Settings!$B$8)</x:f>
      </x:c>
      <x:c r="S487" s="20" t="str">
        <x:f>IF(A487="","",M487+N487)</x:f>
      </x:c>
      <x:c r="T487" s="20" t="str">
        <x:f>IF(A487="","",S487+R487)</x:f>
      </x:c>
    </x:row>
    <x:row r="488">
      <x:c r="A488" s="26"/>
      <x:c r="B488" s="26" t="str">
        <x:f>IF(A488="","",A488-MOD(WEEKDAY(A488,2)-5,7))</x:f>
      </x:c>
      <x:c r="C488" s="26" t="str">
        <x:f>IF(B488="","",B488+7)</x:f>
      </x:c>
      <x:c r="D488" t="str">
        <x:f>IF(A488="","",TEXT(A488,"dddd"))</x:f>
      </x:c>
      <x:c r="E488" s="24"/>
      <x:c r="F488" s="24"/>
      <x:c r="G488" s="32" t="n">
        <x:f>IF(AND(E488&lt;Settings!$B$11,F488&gt;Settings!$B$11),Settings!$B$12,0)</x:f>
        <x:v>0</x:v>
      </x:c>
      <x:c r="H488" s="32" t="n">
        <x:f>IF(AND(E488&lt;Settings!$B$13,F488&gt;Settings!$B$13),Settings!$B$14,0)</x:f>
        <x:v>0</x:v>
      </x:c>
      <x:c r="I488" s="32" t="str">
        <x:f>IF(A488="","",G488+H488)</x:f>
      </x:c>
      <x:c r="J488" s="22" t="str">
        <x:f>IF(A488="","",((F488-E488)*24)-(I488/60))</x:f>
      </x:c>
      <x:c r="K488" s="22" t="str">
        <x:f>IF(A488="","",MIN(J488,8))</x:f>
      </x:c>
      <x:c r="L488" s="22" t="str">
        <x:f>IF(A488="","",MAX(J488-8,0))</x:f>
      </x:c>
      <x:c r="M488" s="20" t="str">
        <x:f>IF(A488="","",K488*Settings!$B$5)</x:f>
      </x:c>
      <x:c r="N488" s="20" t="str">
        <x:f>IF(A488="","",L488*Settings!$B$6)</x:f>
      </x:c>
      <x:c r="O488" s="22"/>
      <x:c r="P488" s="22"/>
      <x:c r="Q488" s="22" t="str">
        <x:f>IF(A488="","",MAX(O488-Settings!$B$7,0))</x:f>
      </x:c>
      <x:c r="R488" s="20" t="str">
        <x:f>IF(A488="","",Q488*Settings!$B$8)</x:f>
      </x:c>
      <x:c r="S488" s="20" t="str">
        <x:f>IF(A488="","",M488+N488)</x:f>
      </x:c>
      <x:c r="T488" s="20" t="str">
        <x:f>IF(A488="","",S488+R488)</x:f>
      </x:c>
    </x:row>
    <x:row r="489">
      <x:c r="A489" s="26"/>
      <x:c r="B489" s="26" t="str">
        <x:f>IF(A489="","",A489-MOD(WEEKDAY(A489,2)-5,7))</x:f>
      </x:c>
      <x:c r="C489" s="26" t="str">
        <x:f>IF(B489="","",B489+7)</x:f>
      </x:c>
      <x:c r="D489" t="str">
        <x:f>IF(A489="","",TEXT(A489,"dddd"))</x:f>
      </x:c>
      <x:c r="E489" s="24"/>
      <x:c r="F489" s="24"/>
      <x:c r="G489" s="32" t="n">
        <x:f>IF(AND(E489&lt;Settings!$B$11,F489&gt;Settings!$B$11),Settings!$B$12,0)</x:f>
        <x:v>0</x:v>
      </x:c>
      <x:c r="H489" s="32" t="n">
        <x:f>IF(AND(E489&lt;Settings!$B$13,F489&gt;Settings!$B$13),Settings!$B$14,0)</x:f>
        <x:v>0</x:v>
      </x:c>
      <x:c r="I489" s="32" t="str">
        <x:f>IF(A489="","",G489+H489)</x:f>
      </x:c>
      <x:c r="J489" s="22" t="str">
        <x:f>IF(A489="","",((F489-E489)*24)-(I489/60))</x:f>
      </x:c>
      <x:c r="K489" s="22" t="str">
        <x:f>IF(A489="","",MIN(J489,8))</x:f>
      </x:c>
      <x:c r="L489" s="22" t="str">
        <x:f>IF(A489="","",MAX(J489-8,0))</x:f>
      </x:c>
      <x:c r="M489" s="20" t="str">
        <x:f>IF(A489="","",K489*Settings!$B$5)</x:f>
      </x:c>
      <x:c r="N489" s="20" t="str">
        <x:f>IF(A489="","",L489*Settings!$B$6)</x:f>
      </x:c>
      <x:c r="O489" s="22"/>
      <x:c r="P489" s="22"/>
      <x:c r="Q489" s="22" t="str">
        <x:f>IF(A489="","",MAX(O489-Settings!$B$7,0))</x:f>
      </x:c>
      <x:c r="R489" s="20" t="str">
        <x:f>IF(A489="","",Q489*Settings!$B$8)</x:f>
      </x:c>
      <x:c r="S489" s="20" t="str">
        <x:f>IF(A489="","",M489+N489)</x:f>
      </x:c>
      <x:c r="T489" s="20" t="str">
        <x:f>IF(A489="","",S489+R489)</x:f>
      </x:c>
    </x:row>
    <x:row r="490">
      <x:c r="A490" s="26"/>
      <x:c r="B490" s="26" t="str">
        <x:f>IF(A490="","",A490-MOD(WEEKDAY(A490,2)-5,7))</x:f>
      </x:c>
      <x:c r="C490" s="26" t="str">
        <x:f>IF(B490="","",B490+7)</x:f>
      </x:c>
      <x:c r="D490" t="str">
        <x:f>IF(A490="","",TEXT(A490,"dddd"))</x:f>
      </x:c>
      <x:c r="E490" s="24"/>
      <x:c r="F490" s="24"/>
      <x:c r="G490" s="32" t="n">
        <x:f>IF(AND(E490&lt;Settings!$B$11,F490&gt;Settings!$B$11),Settings!$B$12,0)</x:f>
        <x:v>0</x:v>
      </x:c>
      <x:c r="H490" s="32" t="n">
        <x:f>IF(AND(E490&lt;Settings!$B$13,F490&gt;Settings!$B$13),Settings!$B$14,0)</x:f>
        <x:v>0</x:v>
      </x:c>
      <x:c r="I490" s="32" t="str">
        <x:f>IF(A490="","",G490+H490)</x:f>
      </x:c>
      <x:c r="J490" s="22" t="str">
        <x:f>IF(A490="","",((F490-E490)*24)-(I490/60))</x:f>
      </x:c>
      <x:c r="K490" s="22" t="str">
        <x:f>IF(A490="","",MIN(J490,8))</x:f>
      </x:c>
      <x:c r="L490" s="22" t="str">
        <x:f>IF(A490="","",MAX(J490-8,0))</x:f>
      </x:c>
      <x:c r="M490" s="20" t="str">
        <x:f>IF(A490="","",K490*Settings!$B$5)</x:f>
      </x:c>
      <x:c r="N490" s="20" t="str">
        <x:f>IF(A490="","",L490*Settings!$B$6)</x:f>
      </x:c>
      <x:c r="O490" s="22"/>
      <x:c r="P490" s="22"/>
      <x:c r="Q490" s="22" t="str">
        <x:f>IF(A490="","",MAX(O490-Settings!$B$7,0))</x:f>
      </x:c>
      <x:c r="R490" s="20" t="str">
        <x:f>IF(A490="","",Q490*Settings!$B$8)</x:f>
      </x:c>
      <x:c r="S490" s="20" t="str">
        <x:f>IF(A490="","",M490+N490)</x:f>
      </x:c>
      <x:c r="T490" s="20" t="str">
        <x:f>IF(A490="","",S490+R490)</x:f>
      </x:c>
    </x:row>
    <x:row r="491">
      <x:c r="A491" s="26"/>
      <x:c r="B491" s="26" t="str">
        <x:f>IF(A491="","",A491-MOD(WEEKDAY(A491,2)-5,7))</x:f>
      </x:c>
      <x:c r="C491" s="26" t="str">
        <x:f>IF(B491="","",B491+7)</x:f>
      </x:c>
      <x:c r="D491" t="str">
        <x:f>IF(A491="","",TEXT(A491,"dddd"))</x:f>
      </x:c>
      <x:c r="E491" s="24"/>
      <x:c r="F491" s="24"/>
      <x:c r="G491" s="32" t="n">
        <x:f>IF(AND(E491&lt;Settings!$B$11,F491&gt;Settings!$B$11),Settings!$B$12,0)</x:f>
        <x:v>0</x:v>
      </x:c>
      <x:c r="H491" s="32" t="n">
        <x:f>IF(AND(E491&lt;Settings!$B$13,F491&gt;Settings!$B$13),Settings!$B$14,0)</x:f>
        <x:v>0</x:v>
      </x:c>
      <x:c r="I491" s="32" t="str">
        <x:f>IF(A491="","",G491+H491)</x:f>
      </x:c>
      <x:c r="J491" s="22" t="str">
        <x:f>IF(A491="","",((F491-E491)*24)-(I491/60))</x:f>
      </x:c>
      <x:c r="K491" s="22" t="str">
        <x:f>IF(A491="","",MIN(J491,8))</x:f>
      </x:c>
      <x:c r="L491" s="22" t="str">
        <x:f>IF(A491="","",MAX(J491-8,0))</x:f>
      </x:c>
      <x:c r="M491" s="20" t="str">
        <x:f>IF(A491="","",K491*Settings!$B$5)</x:f>
      </x:c>
      <x:c r="N491" s="20" t="str">
        <x:f>IF(A491="","",L491*Settings!$B$6)</x:f>
      </x:c>
      <x:c r="O491" s="22"/>
      <x:c r="P491" s="22"/>
      <x:c r="Q491" s="22" t="str">
        <x:f>IF(A491="","",MAX(O491-Settings!$B$7,0))</x:f>
      </x:c>
      <x:c r="R491" s="20" t="str">
        <x:f>IF(A491="","",Q491*Settings!$B$8)</x:f>
      </x:c>
      <x:c r="S491" s="20" t="str">
        <x:f>IF(A491="","",M491+N491)</x:f>
      </x:c>
      <x:c r="T491" s="20" t="str">
        <x:f>IF(A491="","",S491+R491)</x:f>
      </x:c>
    </x:row>
    <x:row r="492">
      <x:c r="A492" s="26"/>
      <x:c r="B492" s="26" t="str">
        <x:f>IF(A492="","",A492-MOD(WEEKDAY(A492,2)-5,7))</x:f>
      </x:c>
      <x:c r="C492" s="26" t="str">
        <x:f>IF(B492="","",B492+7)</x:f>
      </x:c>
      <x:c r="D492" t="str">
        <x:f>IF(A492="","",TEXT(A492,"dddd"))</x:f>
      </x:c>
      <x:c r="E492" s="24"/>
      <x:c r="F492" s="24"/>
      <x:c r="G492" s="32" t="n">
        <x:f>IF(AND(E492&lt;Settings!$B$11,F492&gt;Settings!$B$11),Settings!$B$12,0)</x:f>
        <x:v>0</x:v>
      </x:c>
      <x:c r="H492" s="32" t="n">
        <x:f>IF(AND(E492&lt;Settings!$B$13,F492&gt;Settings!$B$13),Settings!$B$14,0)</x:f>
        <x:v>0</x:v>
      </x:c>
      <x:c r="I492" s="32" t="str">
        <x:f>IF(A492="","",G492+H492)</x:f>
      </x:c>
      <x:c r="J492" s="22" t="str">
        <x:f>IF(A492="","",((F492-E492)*24)-(I492/60))</x:f>
      </x:c>
      <x:c r="K492" s="22" t="str">
        <x:f>IF(A492="","",MIN(J492,8))</x:f>
      </x:c>
      <x:c r="L492" s="22" t="str">
        <x:f>IF(A492="","",MAX(J492-8,0))</x:f>
      </x:c>
      <x:c r="M492" s="20" t="str">
        <x:f>IF(A492="","",K492*Settings!$B$5)</x:f>
      </x:c>
      <x:c r="N492" s="20" t="str">
        <x:f>IF(A492="","",L492*Settings!$B$6)</x:f>
      </x:c>
      <x:c r="O492" s="22"/>
      <x:c r="P492" s="22"/>
      <x:c r="Q492" s="22" t="str">
        <x:f>IF(A492="","",MAX(O492-Settings!$B$7,0))</x:f>
      </x:c>
      <x:c r="R492" s="20" t="str">
        <x:f>IF(A492="","",Q492*Settings!$B$8)</x:f>
      </x:c>
      <x:c r="S492" s="20" t="str">
        <x:f>IF(A492="","",M492+N492)</x:f>
      </x:c>
      <x:c r="T492" s="20" t="str">
        <x:f>IF(A492="","",S492+R492)</x:f>
      </x:c>
    </x:row>
    <x:row r="493">
      <x:c r="A493" s="26"/>
      <x:c r="B493" s="26" t="str">
        <x:f>IF(A493="","",A493-MOD(WEEKDAY(A493,2)-5,7))</x:f>
      </x:c>
      <x:c r="C493" s="26" t="str">
        <x:f>IF(B493="","",B493+7)</x:f>
      </x:c>
      <x:c r="D493" t="str">
        <x:f>IF(A493="","",TEXT(A493,"dddd"))</x:f>
      </x:c>
      <x:c r="E493" s="24"/>
      <x:c r="F493" s="24"/>
      <x:c r="G493" s="32" t="n">
        <x:f>IF(AND(E493&lt;Settings!$B$11,F493&gt;Settings!$B$11),Settings!$B$12,0)</x:f>
        <x:v>0</x:v>
      </x:c>
      <x:c r="H493" s="32" t="n">
        <x:f>IF(AND(E493&lt;Settings!$B$13,F493&gt;Settings!$B$13),Settings!$B$14,0)</x:f>
        <x:v>0</x:v>
      </x:c>
      <x:c r="I493" s="32" t="str">
        <x:f>IF(A493="","",G493+H493)</x:f>
      </x:c>
      <x:c r="J493" s="22" t="str">
        <x:f>IF(A493="","",((F493-E493)*24)-(I493/60))</x:f>
      </x:c>
      <x:c r="K493" s="22" t="str">
        <x:f>IF(A493="","",MIN(J493,8))</x:f>
      </x:c>
      <x:c r="L493" s="22" t="str">
        <x:f>IF(A493="","",MAX(J493-8,0))</x:f>
      </x:c>
      <x:c r="M493" s="20" t="str">
        <x:f>IF(A493="","",K493*Settings!$B$5)</x:f>
      </x:c>
      <x:c r="N493" s="20" t="str">
        <x:f>IF(A493="","",L493*Settings!$B$6)</x:f>
      </x:c>
      <x:c r="O493" s="22"/>
      <x:c r="P493" s="22"/>
      <x:c r="Q493" s="22" t="str">
        <x:f>IF(A493="","",MAX(O493-Settings!$B$7,0))</x:f>
      </x:c>
      <x:c r="R493" s="20" t="str">
        <x:f>IF(A493="","",Q493*Settings!$B$8)</x:f>
      </x:c>
      <x:c r="S493" s="20" t="str">
        <x:f>IF(A493="","",M493+N493)</x:f>
      </x:c>
      <x:c r="T493" s="20" t="str">
        <x:f>IF(A493="","",S493+R493)</x:f>
      </x:c>
    </x:row>
    <x:row r="494">
      <x:c r="A494" s="26"/>
      <x:c r="B494" s="26" t="str">
        <x:f>IF(A494="","",A494-MOD(WEEKDAY(A494,2)-5,7))</x:f>
      </x:c>
      <x:c r="C494" s="26" t="str">
        <x:f>IF(B494="","",B494+7)</x:f>
      </x:c>
      <x:c r="D494" t="str">
        <x:f>IF(A494="","",TEXT(A494,"dddd"))</x:f>
      </x:c>
      <x:c r="E494" s="24"/>
      <x:c r="F494" s="24"/>
      <x:c r="G494" s="32" t="n">
        <x:f>IF(AND(E494&lt;Settings!$B$11,F494&gt;Settings!$B$11),Settings!$B$12,0)</x:f>
        <x:v>0</x:v>
      </x:c>
      <x:c r="H494" s="32" t="n">
        <x:f>IF(AND(E494&lt;Settings!$B$13,F494&gt;Settings!$B$13),Settings!$B$14,0)</x:f>
        <x:v>0</x:v>
      </x:c>
      <x:c r="I494" s="32" t="str">
        <x:f>IF(A494="","",G494+H494)</x:f>
      </x:c>
      <x:c r="J494" s="22" t="str">
        <x:f>IF(A494="","",((F494-E494)*24)-(I494/60))</x:f>
      </x:c>
      <x:c r="K494" s="22" t="str">
        <x:f>IF(A494="","",MIN(J494,8))</x:f>
      </x:c>
      <x:c r="L494" s="22" t="str">
        <x:f>IF(A494="","",MAX(J494-8,0))</x:f>
      </x:c>
      <x:c r="M494" s="20" t="str">
        <x:f>IF(A494="","",K494*Settings!$B$5)</x:f>
      </x:c>
      <x:c r="N494" s="20" t="str">
        <x:f>IF(A494="","",L494*Settings!$B$6)</x:f>
      </x:c>
      <x:c r="O494" s="22"/>
      <x:c r="P494" s="22"/>
      <x:c r="Q494" s="22" t="str">
        <x:f>IF(A494="","",MAX(O494-Settings!$B$7,0))</x:f>
      </x:c>
      <x:c r="R494" s="20" t="str">
        <x:f>IF(A494="","",Q494*Settings!$B$8)</x:f>
      </x:c>
      <x:c r="S494" s="20" t="str">
        <x:f>IF(A494="","",M494+N494)</x:f>
      </x:c>
      <x:c r="T494" s="20" t="str">
        <x:f>IF(A494="","",S494+R494)</x:f>
      </x:c>
    </x:row>
    <x:row r="495">
      <x:c r="A495" s="26"/>
      <x:c r="B495" s="26" t="str">
        <x:f>IF(A495="","",A495-MOD(WEEKDAY(A495,2)-5,7))</x:f>
      </x:c>
      <x:c r="C495" s="26" t="str">
        <x:f>IF(B495="","",B495+7)</x:f>
      </x:c>
      <x:c r="D495" t="str">
        <x:f>IF(A495="","",TEXT(A495,"dddd"))</x:f>
      </x:c>
      <x:c r="E495" s="24"/>
      <x:c r="F495" s="24"/>
      <x:c r="G495" s="32" t="n">
        <x:f>IF(AND(E495&lt;Settings!$B$11,F495&gt;Settings!$B$11),Settings!$B$12,0)</x:f>
        <x:v>0</x:v>
      </x:c>
      <x:c r="H495" s="32" t="n">
        <x:f>IF(AND(E495&lt;Settings!$B$13,F495&gt;Settings!$B$13),Settings!$B$14,0)</x:f>
        <x:v>0</x:v>
      </x:c>
      <x:c r="I495" s="32" t="str">
        <x:f>IF(A495="","",G495+H495)</x:f>
      </x:c>
      <x:c r="J495" s="22" t="str">
        <x:f>IF(A495="","",((F495-E495)*24)-(I495/60))</x:f>
      </x:c>
      <x:c r="K495" s="22" t="str">
        <x:f>IF(A495="","",MIN(J495,8))</x:f>
      </x:c>
      <x:c r="L495" s="22" t="str">
        <x:f>IF(A495="","",MAX(J495-8,0))</x:f>
      </x:c>
      <x:c r="M495" s="20" t="str">
        <x:f>IF(A495="","",K495*Settings!$B$5)</x:f>
      </x:c>
      <x:c r="N495" s="20" t="str">
        <x:f>IF(A495="","",L495*Settings!$B$6)</x:f>
      </x:c>
      <x:c r="O495" s="22"/>
      <x:c r="P495" s="22"/>
      <x:c r="Q495" s="22" t="str">
        <x:f>IF(A495="","",MAX(O495-Settings!$B$7,0))</x:f>
      </x:c>
      <x:c r="R495" s="20" t="str">
        <x:f>IF(A495="","",Q495*Settings!$B$8)</x:f>
      </x:c>
      <x:c r="S495" s="20" t="str">
        <x:f>IF(A495="","",M495+N495)</x:f>
      </x:c>
      <x:c r="T495" s="20" t="str">
        <x:f>IF(A495="","",S495+R495)</x:f>
      </x:c>
    </x:row>
    <x:row r="496">
      <x:c r="A496" s="26"/>
      <x:c r="B496" s="26" t="str">
        <x:f>IF(A496="","",A496-MOD(WEEKDAY(A496,2)-5,7))</x:f>
      </x:c>
      <x:c r="C496" s="26" t="str">
        <x:f>IF(B496="","",B496+7)</x:f>
      </x:c>
      <x:c r="D496" t="str">
        <x:f>IF(A496="","",TEXT(A496,"dddd"))</x:f>
      </x:c>
      <x:c r="E496" s="24"/>
      <x:c r="F496" s="24"/>
      <x:c r="G496" s="32" t="n">
        <x:f>IF(AND(E496&lt;Settings!$B$11,F496&gt;Settings!$B$11),Settings!$B$12,0)</x:f>
        <x:v>0</x:v>
      </x:c>
      <x:c r="H496" s="32" t="n">
        <x:f>IF(AND(E496&lt;Settings!$B$13,F496&gt;Settings!$B$13),Settings!$B$14,0)</x:f>
        <x:v>0</x:v>
      </x:c>
      <x:c r="I496" s="32" t="str">
        <x:f>IF(A496="","",G496+H496)</x:f>
      </x:c>
      <x:c r="J496" s="22" t="str">
        <x:f>IF(A496="","",((F496-E496)*24)-(I496/60))</x:f>
      </x:c>
      <x:c r="K496" s="22" t="str">
        <x:f>IF(A496="","",MIN(J496,8))</x:f>
      </x:c>
      <x:c r="L496" s="22" t="str">
        <x:f>IF(A496="","",MAX(J496-8,0))</x:f>
      </x:c>
      <x:c r="M496" s="20" t="str">
        <x:f>IF(A496="","",K496*Settings!$B$5)</x:f>
      </x:c>
      <x:c r="N496" s="20" t="str">
        <x:f>IF(A496="","",L496*Settings!$B$6)</x:f>
      </x:c>
      <x:c r="O496" s="22"/>
      <x:c r="P496" s="22"/>
      <x:c r="Q496" s="22" t="str">
        <x:f>IF(A496="","",MAX(O496-Settings!$B$7,0))</x:f>
      </x:c>
      <x:c r="R496" s="20" t="str">
        <x:f>IF(A496="","",Q496*Settings!$B$8)</x:f>
      </x:c>
      <x:c r="S496" s="20" t="str">
        <x:f>IF(A496="","",M496+N496)</x:f>
      </x:c>
      <x:c r="T496" s="20" t="str">
        <x:f>IF(A496="","",S496+R496)</x:f>
      </x:c>
    </x:row>
    <x:row r="497">
      <x:c r="A497" s="26"/>
      <x:c r="B497" s="26" t="str">
        <x:f>IF(A497="","",A497-MOD(WEEKDAY(A497,2)-5,7))</x:f>
      </x:c>
      <x:c r="C497" s="26" t="str">
        <x:f>IF(B497="","",B497+7)</x:f>
      </x:c>
      <x:c r="D497" t="str">
        <x:f>IF(A497="","",TEXT(A497,"dddd"))</x:f>
      </x:c>
      <x:c r="E497" s="24"/>
      <x:c r="F497" s="24"/>
      <x:c r="G497" s="32" t="n">
        <x:f>IF(AND(E497&lt;Settings!$B$11,F497&gt;Settings!$B$11),Settings!$B$12,0)</x:f>
        <x:v>0</x:v>
      </x:c>
      <x:c r="H497" s="32" t="n">
        <x:f>IF(AND(E497&lt;Settings!$B$13,F497&gt;Settings!$B$13),Settings!$B$14,0)</x:f>
        <x:v>0</x:v>
      </x:c>
      <x:c r="I497" s="32" t="str">
        <x:f>IF(A497="","",G497+H497)</x:f>
      </x:c>
      <x:c r="J497" s="22" t="str">
        <x:f>IF(A497="","",((F497-E497)*24)-(I497/60))</x:f>
      </x:c>
      <x:c r="K497" s="22" t="str">
        <x:f>IF(A497="","",MIN(J497,8))</x:f>
      </x:c>
      <x:c r="L497" s="22" t="str">
        <x:f>IF(A497="","",MAX(J497-8,0))</x:f>
      </x:c>
      <x:c r="M497" s="20" t="str">
        <x:f>IF(A497="","",K497*Settings!$B$5)</x:f>
      </x:c>
      <x:c r="N497" s="20" t="str">
        <x:f>IF(A497="","",L497*Settings!$B$6)</x:f>
      </x:c>
      <x:c r="O497" s="22"/>
      <x:c r="P497" s="22"/>
      <x:c r="Q497" s="22" t="str">
        <x:f>IF(A497="","",MAX(O497-Settings!$B$7,0))</x:f>
      </x:c>
      <x:c r="R497" s="20" t="str">
        <x:f>IF(A497="","",Q497*Settings!$B$8)</x:f>
      </x:c>
      <x:c r="S497" s="20" t="str">
        <x:f>IF(A497="","",M497+N497)</x:f>
      </x:c>
      <x:c r="T497" s="20" t="str">
        <x:f>IF(A497="","",S497+R497)</x:f>
      </x:c>
    </x:row>
    <x:row r="498">
      <x:c r="A498" s="26"/>
      <x:c r="B498" s="26" t="str">
        <x:f>IF(A498="","",A498-MOD(WEEKDAY(A498,2)-5,7))</x:f>
      </x:c>
      <x:c r="C498" s="26" t="str">
        <x:f>IF(B498="","",B498+7)</x:f>
      </x:c>
      <x:c r="D498" t="str">
        <x:f>IF(A498="","",TEXT(A498,"dddd"))</x:f>
      </x:c>
      <x:c r="E498" s="24"/>
      <x:c r="F498" s="24"/>
      <x:c r="G498" s="32" t="n">
        <x:f>IF(AND(E498&lt;Settings!$B$11,F498&gt;Settings!$B$11),Settings!$B$12,0)</x:f>
        <x:v>0</x:v>
      </x:c>
      <x:c r="H498" s="32" t="n">
        <x:f>IF(AND(E498&lt;Settings!$B$13,F498&gt;Settings!$B$13),Settings!$B$14,0)</x:f>
        <x:v>0</x:v>
      </x:c>
      <x:c r="I498" s="32" t="str">
        <x:f>IF(A498="","",G498+H498)</x:f>
      </x:c>
      <x:c r="J498" s="22" t="str">
        <x:f>IF(A498="","",((F498-E498)*24)-(I498/60))</x:f>
      </x:c>
      <x:c r="K498" s="22" t="str">
        <x:f>IF(A498="","",MIN(J498,8))</x:f>
      </x:c>
      <x:c r="L498" s="22" t="str">
        <x:f>IF(A498="","",MAX(J498-8,0))</x:f>
      </x:c>
      <x:c r="M498" s="20" t="str">
        <x:f>IF(A498="","",K498*Settings!$B$5)</x:f>
      </x:c>
      <x:c r="N498" s="20" t="str">
        <x:f>IF(A498="","",L498*Settings!$B$6)</x:f>
      </x:c>
      <x:c r="O498" s="22"/>
      <x:c r="P498" s="22"/>
      <x:c r="Q498" s="22" t="str">
        <x:f>IF(A498="","",MAX(O498-Settings!$B$7,0))</x:f>
      </x:c>
      <x:c r="R498" s="20" t="str">
        <x:f>IF(A498="","",Q498*Settings!$B$8)</x:f>
      </x:c>
      <x:c r="S498" s="20" t="str">
        <x:f>IF(A498="","",M498+N498)</x:f>
      </x:c>
      <x:c r="T498" s="20" t="str">
        <x:f>IF(A498="","",S498+R498)</x:f>
      </x:c>
    </x:row>
    <x:row r="499">
      <x:c r="A499" s="26"/>
      <x:c r="B499" s="26" t="str">
        <x:f>IF(A499="","",A499-MOD(WEEKDAY(A499,2)-5,7))</x:f>
      </x:c>
      <x:c r="C499" s="26" t="str">
        <x:f>IF(B499="","",B499+7)</x:f>
      </x:c>
      <x:c r="D499" t="str">
        <x:f>IF(A499="","",TEXT(A499,"dddd"))</x:f>
      </x:c>
      <x:c r="E499" s="24"/>
      <x:c r="F499" s="24"/>
      <x:c r="G499" s="32" t="n">
        <x:f>IF(AND(E499&lt;Settings!$B$11,F499&gt;Settings!$B$11),Settings!$B$12,0)</x:f>
        <x:v>0</x:v>
      </x:c>
      <x:c r="H499" s="32" t="n">
        <x:f>IF(AND(E499&lt;Settings!$B$13,F499&gt;Settings!$B$13),Settings!$B$14,0)</x:f>
        <x:v>0</x:v>
      </x:c>
      <x:c r="I499" s="32" t="str">
        <x:f>IF(A499="","",G499+H499)</x:f>
      </x:c>
      <x:c r="J499" s="22" t="str">
        <x:f>IF(A499="","",((F499-E499)*24)-(I499/60))</x:f>
      </x:c>
      <x:c r="K499" s="22" t="str">
        <x:f>IF(A499="","",MIN(J499,8))</x:f>
      </x:c>
      <x:c r="L499" s="22" t="str">
        <x:f>IF(A499="","",MAX(J499-8,0))</x:f>
      </x:c>
      <x:c r="M499" s="20" t="str">
        <x:f>IF(A499="","",K499*Settings!$B$5)</x:f>
      </x:c>
      <x:c r="N499" s="20" t="str">
        <x:f>IF(A499="","",L499*Settings!$B$6)</x:f>
      </x:c>
      <x:c r="O499" s="22"/>
      <x:c r="P499" s="22"/>
      <x:c r="Q499" s="22" t="str">
        <x:f>IF(A499="","",MAX(O499-Settings!$B$7,0))</x:f>
      </x:c>
      <x:c r="R499" s="20" t="str">
        <x:f>IF(A499="","",Q499*Settings!$B$8)</x:f>
      </x:c>
      <x:c r="S499" s="20" t="str">
        <x:f>IF(A499="","",M499+N499)</x:f>
      </x:c>
      <x:c r="T499" s="20" t="str">
        <x:f>IF(A499="","",S499+R499)</x:f>
      </x:c>
    </x:row>
    <x:row r="500">
      <x:c r="A500" s="26"/>
      <x:c r="B500" s="26" t="str">
        <x:f>IF(A500="","",A500-MOD(WEEKDAY(A500,2)-5,7))</x:f>
      </x:c>
      <x:c r="C500" s="26" t="str">
        <x:f>IF(B500="","",B500+7)</x:f>
      </x:c>
      <x:c r="D500" t="str">
        <x:f>IF(A500="","",TEXT(A500,"dddd"))</x:f>
      </x:c>
      <x:c r="E500" s="24"/>
      <x:c r="F500" s="24"/>
      <x:c r="G500" s="32" t="n">
        <x:f>IF(AND(E500&lt;Settings!$B$11,F500&gt;Settings!$B$11),Settings!$B$12,0)</x:f>
        <x:v>0</x:v>
      </x:c>
      <x:c r="H500" s="32" t="n">
        <x:f>IF(AND(E500&lt;Settings!$B$13,F500&gt;Settings!$B$13),Settings!$B$14,0)</x:f>
        <x:v>0</x:v>
      </x:c>
      <x:c r="I500" s="32" t="str">
        <x:f>IF(A500="","",G500+H500)</x:f>
      </x:c>
      <x:c r="J500" s="22" t="str">
        <x:f>IF(A500="","",((F500-E500)*24)-(I500/60))</x:f>
      </x:c>
      <x:c r="K500" s="22" t="str">
        <x:f>IF(A500="","",MIN(J500,8))</x:f>
      </x:c>
      <x:c r="L500" s="22" t="str">
        <x:f>IF(A500="","",MAX(J500-8,0))</x:f>
      </x:c>
      <x:c r="M500" s="20" t="str">
        <x:f>IF(A500="","",K500*Settings!$B$5)</x:f>
      </x:c>
      <x:c r="N500" s="20" t="str">
        <x:f>IF(A500="","",L500*Settings!$B$6)</x:f>
      </x:c>
      <x:c r="O500" s="22"/>
      <x:c r="P500" s="22"/>
      <x:c r="Q500" s="22" t="str">
        <x:f>IF(A500="","",MAX(O500-Settings!$B$7,0))</x:f>
      </x:c>
      <x:c r="R500" s="20" t="str">
        <x:f>IF(A500="","",Q500*Settings!$B$8)</x:f>
      </x:c>
      <x:c r="S500" s="20" t="str">
        <x:f>IF(A500="","",M500+N500)</x:f>
      </x:c>
      <x:c r="T500" s="20" t="str">
        <x:f>IF(A500="","",S500+R500)</x:f>
      </x:c>
    </x:row>
    <x:row r="501">
      <x:c r="A501" s="26"/>
      <x:c r="B501" s="26" t="str">
        <x:f>IF(A501="","",A501-MOD(WEEKDAY(A501,2)-5,7))</x:f>
      </x:c>
      <x:c r="C501" s="26" t="str">
        <x:f>IF(B501="","",B501+7)</x:f>
      </x:c>
      <x:c r="D501" t="str">
        <x:f>IF(A501="","",TEXT(A501,"dddd"))</x:f>
      </x:c>
      <x:c r="E501" s="24"/>
      <x:c r="F501" s="24"/>
      <x:c r="G501" s="32" t="n">
        <x:f>IF(AND(E501&lt;Settings!$B$11,F501&gt;Settings!$B$11),Settings!$B$12,0)</x:f>
        <x:v>0</x:v>
      </x:c>
      <x:c r="H501" s="32" t="n">
        <x:f>IF(AND(E501&lt;Settings!$B$13,F501&gt;Settings!$B$13),Settings!$B$14,0)</x:f>
        <x:v>0</x:v>
      </x:c>
      <x:c r="I501" s="32" t="str">
        <x:f>IF(A501="","",G501+H501)</x:f>
      </x:c>
      <x:c r="J501" s="22" t="str">
        <x:f>IF(A501="","",((F501-E501)*24)-(I501/60))</x:f>
      </x:c>
      <x:c r="K501" s="22" t="str">
        <x:f>IF(A501="","",MIN(J501,8))</x:f>
      </x:c>
      <x:c r="L501" s="22" t="str">
        <x:f>IF(A501="","",MAX(J501-8,0))</x:f>
      </x:c>
      <x:c r="M501" s="20" t="str">
        <x:f>IF(A501="","",K501*Settings!$B$5)</x:f>
      </x:c>
      <x:c r="N501" s="20" t="str">
        <x:f>IF(A501="","",L501*Settings!$B$6)</x:f>
      </x:c>
      <x:c r="O501" s="22"/>
      <x:c r="P501" s="22"/>
      <x:c r="Q501" s="22" t="str">
        <x:f>IF(A501="","",MAX(O501-Settings!$B$7,0))</x:f>
      </x:c>
      <x:c r="R501" s="20" t="str">
        <x:f>IF(A501="","",Q501*Settings!$B$8)</x:f>
      </x:c>
      <x:c r="S501" s="20" t="str">
        <x:f>IF(A501="","",M501+N501)</x:f>
      </x:c>
      <x:c r="T501" s="20" t="str">
        <x:f>IF(A501="","",S501+R501)</x:f>
      </x:c>
    </x:row>
  </x:sheetData>
  <x:mergeCells>
    <x:mergeCell ref="W1:Y1"/>
  </x:mergeCells>
  <x:conditionalFormatting sqref="T2:T501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{8627C287-0CA8-1EBC-6EA1-70FED84EBDCF}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49c6650f0be4d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627C287-0CA8-1EBC-6EA1-70FED84EBDCF}">
            <x14:dataBar gradient="1">
              <x14:cfvo type="min"/>
              <x14:cfvo type="max"/>
              <x14:fillColor rgb="FF22C55E"/>
            </x14:dataBar>
          </x14:cfRule>
          <xm:sqref>T2:T501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7.25" hidden="0" customWidth="1"/>
    <x:col min="2" max="2" width="10.630000114440918" hidden="0" customWidth="1"/>
    <x:col min="3" max="3" width="9.380000114440918" hidden="0" customWidth="1"/>
    <x:col min="4" max="4" width="10.75" hidden="0" customWidth="1"/>
    <x:col min="5" max="5" width="4.75" hidden="0" customWidth="1"/>
    <x:col min="6" max="6" width="12.880000114440918" hidden="0" customWidth="1"/>
    <x:col min="7" max="7" width="15.380000114440918" hidden="0" customWidth="1"/>
    <x:col min="8" max="8" width="17.8799991607666" hidden="0" customWidth="1"/>
    <x:col min="9" max="9" width="6.5" hidden="0" customWidth="1"/>
    <x:col min="10" max="10" width="7.75" hidden="0" customWidth="1"/>
    <x:col min="11" max="11" width="13.5" hidden="0" customWidth="1"/>
  </x:cols>
  <x:sheetData>
    <x:row r="1">
      <x:c r="A1" s="5" t="str">
        <x:v>📅 Weeks — пятница → четверг</x:v>
      </x:c>
      <x:c r="G1" s="38" t="str">
        <x:v>Created by Azizbay</x:v>
      </x:c>
    </x:row>
    <x:row r="3">
      <x:c r="A3" s="14" t="str">
        <x:v>Неделя старт</x:v>
      </x:c>
      <x:c r="B3" s="14" t="str">
        <x:v>Закрывается</x:v>
      </x:c>
      <x:c r="C3" s="14" t="str">
        <x:v>Выплата</x:v>
      </x:c>
      <x:c r="D3" s="14" t="str">
        <x:v>Рабочие дни</x:v>
      </x:c>
      <x:c r="E3" s="14" t="str">
        <x:v>Часы</x:v>
      </x:c>
      <x:c r="F3" s="14" t="str">
        <x:v>Овертайм часы</x:v>
      </x:c>
      <x:c r="G3" s="14" t="str">
        <x:v>Обычная зарплата</x:v>
      </x:c>
      <x:c r="H3" s="14" t="str">
        <x:v>Заработок овертайма</x:v>
      </x:c>
      <x:c r="I3" s="14" t="str">
        <x:v>Бонус £</x:v>
      </x:c>
      <x:c r="J3" s="14" t="str">
        <x:v>Рабиш кг</x:v>
      </x:c>
      <x:c r="K3" s="14" t="str">
        <x:v>Итого с бонусом</x:v>
      </x:c>
    </x:row>
    <x:row r="4">
      <x:c r="A4" s="26" t="n">
        <x:f>Settings!$B$15</x:f>
        <x:v>46199</x:v>
      </x:c>
      <x:c r="B4" s="26" t="n">
        <x:f>A4+6</x:f>
        <x:v>46205</x:v>
      </x:c>
      <x:c r="C4" s="26" t="n">
        <x:f>A4+7</x:f>
        <x:v>46206</x:v>
      </x:c>
      <x:c r="D4" t="n">
        <x:f>COUNTIFS('Work Days'!$B:$B,A4)</x:f>
        <x:v>1</x:v>
      </x:c>
      <x:c r="E4" s="22" t="n">
        <x:f>SUMIFS('Work Days'!$J:$J,'Work Days'!$B:$B,A4)</x:f>
        <x:v>11.25</x:v>
      </x:c>
      <x:c r="F4" s="22" t="n">
        <x:f>SUMIFS('Work Days'!$L:$L,'Work Days'!$B:$B,A4)</x:f>
        <x:v>3.25</x:v>
      </x:c>
      <x:c r="G4" s="20" t="n">
        <x:f>SUMIFS('Work Days'!$M:$M,'Work Days'!$B:$B,A4)</x:f>
        <x:v>101.68</x:v>
      </x:c>
      <x:c r="H4" s="20" t="n">
        <x:f>SUMIFS('Work Days'!$N:$N,'Work Days'!$B:$B,A4)</x:f>
        <x:v>61.9775</x:v>
      </x:c>
      <x:c r="I4" s="20" t="n">
        <x:f>SUMIFS('Work Days'!$R:$R,'Work Days'!$B:$B,A4)</x:f>
        <x:v>30.75</x:v>
      </x:c>
      <x:c r="J4" s="22" t="n">
        <x:f>SUMIFS('Work Days'!$P:$P,'Work Days'!$B:$B,A4)</x:f>
        <x:v>0</x:v>
      </x:c>
      <x:c r="K4" s="20" t="n">
        <x:f>SUMIFS('Work Days'!$T:$T,'Work Days'!$B:$B,A4)</x:f>
        <x:v>194.4075</x:v>
      </x:c>
    </x:row>
    <x:row r="5">
      <x:c r="A5" s="26" t="n">
        <x:f>A4+7</x:f>
        <x:v>46206</x:v>
      </x:c>
      <x:c r="B5" s="26" t="n">
        <x:f>A5+6</x:f>
        <x:v>46212</x:v>
      </x:c>
      <x:c r="C5" s="26" t="n">
        <x:f>A5+7</x:f>
        <x:v>46213</x:v>
      </x:c>
      <x:c r="D5" t="n">
        <x:f>COUNTIFS('Work Days'!$B:$B,A5)</x:f>
        <x:v>0</x:v>
      </x:c>
      <x:c r="E5" s="22" t="n">
        <x:f>SUMIFS('Work Days'!$J:$J,'Work Days'!$B:$B,A5)</x:f>
        <x:v>0</x:v>
      </x:c>
      <x:c r="F5" s="22" t="n">
        <x:f>SUMIFS('Work Days'!$L:$L,'Work Days'!$B:$B,A5)</x:f>
        <x:v>0</x:v>
      </x:c>
      <x:c r="G5" s="20" t="n">
        <x:f>SUMIFS('Work Days'!$M:$M,'Work Days'!$B:$B,A5)</x:f>
        <x:v>0</x:v>
      </x:c>
      <x:c r="H5" s="20" t="n">
        <x:f>SUMIFS('Work Days'!$N:$N,'Work Days'!$B:$B,A5)</x:f>
        <x:v>0</x:v>
      </x:c>
      <x:c r="I5" s="20" t="n">
        <x:f>SUMIFS('Work Days'!$R:$R,'Work Days'!$B:$B,A5)</x:f>
        <x:v>0</x:v>
      </x:c>
      <x:c r="J5" s="22" t="n">
        <x:f>SUMIFS('Work Days'!$P:$P,'Work Days'!$B:$B,A5)</x:f>
        <x:v>0</x:v>
      </x:c>
      <x:c r="K5" s="20" t="n">
        <x:f>SUMIFS('Work Days'!$T:$T,'Work Days'!$B:$B,A5)</x:f>
        <x:v>0</x:v>
      </x:c>
    </x:row>
    <x:row r="6">
      <x:c r="A6" s="26" t="n">
        <x:f>A5+7</x:f>
        <x:v>46213</x:v>
      </x:c>
      <x:c r="B6" s="26" t="n">
        <x:f>A6+6</x:f>
        <x:v>46219</x:v>
      </x:c>
      <x:c r="C6" s="26" t="n">
        <x:f>A6+7</x:f>
        <x:v>46220</x:v>
      </x:c>
      <x:c r="D6" t="n">
        <x:f>COUNTIFS('Work Days'!$B:$B,A6)</x:f>
        <x:v>0</x:v>
      </x:c>
      <x:c r="E6" s="22" t="n">
        <x:f>SUMIFS('Work Days'!$J:$J,'Work Days'!$B:$B,A6)</x:f>
        <x:v>0</x:v>
      </x:c>
      <x:c r="F6" s="22" t="n">
        <x:f>SUMIFS('Work Days'!$L:$L,'Work Days'!$B:$B,A6)</x:f>
        <x:v>0</x:v>
      </x:c>
      <x:c r="G6" s="20" t="n">
        <x:f>SUMIFS('Work Days'!$M:$M,'Work Days'!$B:$B,A6)</x:f>
        <x:v>0</x:v>
      </x:c>
      <x:c r="H6" s="20" t="n">
        <x:f>SUMIFS('Work Days'!$N:$N,'Work Days'!$B:$B,A6)</x:f>
        <x:v>0</x:v>
      </x:c>
      <x:c r="I6" s="20" t="n">
        <x:f>SUMIFS('Work Days'!$R:$R,'Work Days'!$B:$B,A6)</x:f>
        <x:v>0</x:v>
      </x:c>
      <x:c r="J6" s="22" t="n">
        <x:f>SUMIFS('Work Days'!$P:$P,'Work Days'!$B:$B,A6)</x:f>
        <x:v>0</x:v>
      </x:c>
      <x:c r="K6" s="20" t="n">
        <x:f>SUMIFS('Work Days'!$T:$T,'Work Days'!$B:$B,A6)</x:f>
        <x:v>0</x:v>
      </x:c>
    </x:row>
    <x:row r="7">
      <x:c r="A7" s="26" t="n">
        <x:f>A6+7</x:f>
        <x:v>46220</x:v>
      </x:c>
      <x:c r="B7" s="26" t="n">
        <x:f>A7+6</x:f>
        <x:v>46226</x:v>
      </x:c>
      <x:c r="C7" s="26" t="n">
        <x:f>A7+7</x:f>
        <x:v>46227</x:v>
      </x:c>
      <x:c r="D7" t="n">
        <x:f>COUNTIFS('Work Days'!$B:$B,A7)</x:f>
        <x:v>0</x:v>
      </x:c>
      <x:c r="E7" s="22" t="n">
        <x:f>SUMIFS('Work Days'!$J:$J,'Work Days'!$B:$B,A7)</x:f>
        <x:v>0</x:v>
      </x:c>
      <x:c r="F7" s="22" t="n">
        <x:f>SUMIFS('Work Days'!$L:$L,'Work Days'!$B:$B,A7)</x:f>
        <x:v>0</x:v>
      </x:c>
      <x:c r="G7" s="20" t="n">
        <x:f>SUMIFS('Work Days'!$M:$M,'Work Days'!$B:$B,A7)</x:f>
        <x:v>0</x:v>
      </x:c>
      <x:c r="H7" s="20" t="n">
        <x:f>SUMIFS('Work Days'!$N:$N,'Work Days'!$B:$B,A7)</x:f>
        <x:v>0</x:v>
      </x:c>
      <x:c r="I7" s="20" t="n">
        <x:f>SUMIFS('Work Days'!$R:$R,'Work Days'!$B:$B,A7)</x:f>
        <x:v>0</x:v>
      </x:c>
      <x:c r="J7" s="22" t="n">
        <x:f>SUMIFS('Work Days'!$P:$P,'Work Days'!$B:$B,A7)</x:f>
        <x:v>0</x:v>
      </x:c>
      <x:c r="K7" s="20" t="n">
        <x:f>SUMIFS('Work Days'!$T:$T,'Work Days'!$B:$B,A7)</x:f>
        <x:v>0</x:v>
      </x:c>
    </x:row>
    <x:row r="8">
      <x:c r="A8" s="26" t="n">
        <x:f>A7+7</x:f>
        <x:v>46227</x:v>
      </x:c>
      <x:c r="B8" s="26" t="n">
        <x:f>A8+6</x:f>
        <x:v>46233</x:v>
      </x:c>
      <x:c r="C8" s="26" t="n">
        <x:f>A8+7</x:f>
        <x:v>46234</x:v>
      </x:c>
      <x:c r="D8" t="n">
        <x:f>COUNTIFS('Work Days'!$B:$B,A8)</x:f>
        <x:v>0</x:v>
      </x:c>
      <x:c r="E8" s="22" t="n">
        <x:f>SUMIFS('Work Days'!$J:$J,'Work Days'!$B:$B,A8)</x:f>
        <x:v>0</x:v>
      </x:c>
      <x:c r="F8" s="22" t="n">
        <x:f>SUMIFS('Work Days'!$L:$L,'Work Days'!$B:$B,A8)</x:f>
        <x:v>0</x:v>
      </x:c>
      <x:c r="G8" s="20" t="n">
        <x:f>SUMIFS('Work Days'!$M:$M,'Work Days'!$B:$B,A8)</x:f>
        <x:v>0</x:v>
      </x:c>
      <x:c r="H8" s="20" t="n">
        <x:f>SUMIFS('Work Days'!$N:$N,'Work Days'!$B:$B,A8)</x:f>
        <x:v>0</x:v>
      </x:c>
      <x:c r="I8" s="20" t="n">
        <x:f>SUMIFS('Work Days'!$R:$R,'Work Days'!$B:$B,A8)</x:f>
        <x:v>0</x:v>
      </x:c>
      <x:c r="J8" s="22" t="n">
        <x:f>SUMIFS('Work Days'!$P:$P,'Work Days'!$B:$B,A8)</x:f>
        <x:v>0</x:v>
      </x:c>
      <x:c r="K8" s="20" t="n">
        <x:f>SUMIFS('Work Days'!$T:$T,'Work Days'!$B:$B,A8)</x:f>
        <x:v>0</x:v>
      </x:c>
    </x:row>
    <x:row r="9">
      <x:c r="A9" s="26" t="n">
        <x:f>A8+7</x:f>
        <x:v>46234</x:v>
      </x:c>
      <x:c r="B9" s="26" t="n">
        <x:f>A9+6</x:f>
        <x:v>46240</x:v>
      </x:c>
      <x:c r="C9" s="26" t="n">
        <x:f>A9+7</x:f>
        <x:v>46241</x:v>
      </x:c>
      <x:c r="D9" t="n">
        <x:f>COUNTIFS('Work Days'!$B:$B,A9)</x:f>
        <x:v>0</x:v>
      </x:c>
      <x:c r="E9" s="22" t="n">
        <x:f>SUMIFS('Work Days'!$J:$J,'Work Days'!$B:$B,A9)</x:f>
        <x:v>0</x:v>
      </x:c>
      <x:c r="F9" s="22" t="n">
        <x:f>SUMIFS('Work Days'!$L:$L,'Work Days'!$B:$B,A9)</x:f>
        <x:v>0</x:v>
      </x:c>
      <x:c r="G9" s="20" t="n">
        <x:f>SUMIFS('Work Days'!$M:$M,'Work Days'!$B:$B,A9)</x:f>
        <x:v>0</x:v>
      </x:c>
      <x:c r="H9" s="20" t="n">
        <x:f>SUMIFS('Work Days'!$N:$N,'Work Days'!$B:$B,A9)</x:f>
        <x:v>0</x:v>
      </x:c>
      <x:c r="I9" s="20" t="n">
        <x:f>SUMIFS('Work Days'!$R:$R,'Work Days'!$B:$B,A9)</x:f>
        <x:v>0</x:v>
      </x:c>
      <x:c r="J9" s="22" t="n">
        <x:f>SUMIFS('Work Days'!$P:$P,'Work Days'!$B:$B,A9)</x:f>
        <x:v>0</x:v>
      </x:c>
      <x:c r="K9" s="20" t="n">
        <x:f>SUMIFS('Work Days'!$T:$T,'Work Days'!$B:$B,A9)</x:f>
        <x:v>0</x:v>
      </x:c>
    </x:row>
    <x:row r="10">
      <x:c r="A10" s="26" t="n">
        <x:f>A9+7</x:f>
        <x:v>46241</x:v>
      </x:c>
      <x:c r="B10" s="26" t="n">
        <x:f>A10+6</x:f>
        <x:v>46247</x:v>
      </x:c>
      <x:c r="C10" s="26" t="n">
        <x:f>A10+7</x:f>
        <x:v>46248</x:v>
      </x:c>
      <x:c r="D10" t="n">
        <x:f>COUNTIFS('Work Days'!$B:$B,A10)</x:f>
        <x:v>0</x:v>
      </x:c>
      <x:c r="E10" s="22" t="n">
        <x:f>SUMIFS('Work Days'!$J:$J,'Work Days'!$B:$B,A10)</x:f>
        <x:v>0</x:v>
      </x:c>
      <x:c r="F10" s="22" t="n">
        <x:f>SUMIFS('Work Days'!$L:$L,'Work Days'!$B:$B,A10)</x:f>
        <x:v>0</x:v>
      </x:c>
      <x:c r="G10" s="20" t="n">
        <x:f>SUMIFS('Work Days'!$M:$M,'Work Days'!$B:$B,A10)</x:f>
        <x:v>0</x:v>
      </x:c>
      <x:c r="H10" s="20" t="n">
        <x:f>SUMIFS('Work Days'!$N:$N,'Work Days'!$B:$B,A10)</x:f>
        <x:v>0</x:v>
      </x:c>
      <x:c r="I10" s="20" t="n">
        <x:f>SUMIFS('Work Days'!$R:$R,'Work Days'!$B:$B,A10)</x:f>
        <x:v>0</x:v>
      </x:c>
      <x:c r="J10" s="22" t="n">
        <x:f>SUMIFS('Work Days'!$P:$P,'Work Days'!$B:$B,A10)</x:f>
        <x:v>0</x:v>
      </x:c>
      <x:c r="K10" s="20" t="n">
        <x:f>SUMIFS('Work Days'!$T:$T,'Work Days'!$B:$B,A10)</x:f>
        <x:v>0</x:v>
      </x:c>
    </x:row>
    <x:row r="11">
      <x:c r="A11" s="26" t="n">
        <x:f>A10+7</x:f>
        <x:v>46248</x:v>
      </x:c>
      <x:c r="B11" s="26" t="n">
        <x:f>A11+6</x:f>
        <x:v>46254</x:v>
      </x:c>
      <x:c r="C11" s="26" t="n">
        <x:f>A11+7</x:f>
        <x:v>46255</x:v>
      </x:c>
      <x:c r="D11" t="n">
        <x:f>COUNTIFS('Work Days'!$B:$B,A11)</x:f>
        <x:v>0</x:v>
      </x:c>
      <x:c r="E11" s="22" t="n">
        <x:f>SUMIFS('Work Days'!$J:$J,'Work Days'!$B:$B,A11)</x:f>
        <x:v>0</x:v>
      </x:c>
      <x:c r="F11" s="22" t="n">
        <x:f>SUMIFS('Work Days'!$L:$L,'Work Days'!$B:$B,A11)</x:f>
        <x:v>0</x:v>
      </x:c>
      <x:c r="G11" s="20" t="n">
        <x:f>SUMIFS('Work Days'!$M:$M,'Work Days'!$B:$B,A11)</x:f>
        <x:v>0</x:v>
      </x:c>
      <x:c r="H11" s="20" t="n">
        <x:f>SUMIFS('Work Days'!$N:$N,'Work Days'!$B:$B,A11)</x:f>
        <x:v>0</x:v>
      </x:c>
      <x:c r="I11" s="20" t="n">
        <x:f>SUMIFS('Work Days'!$R:$R,'Work Days'!$B:$B,A11)</x:f>
        <x:v>0</x:v>
      </x:c>
      <x:c r="J11" s="22" t="n">
        <x:f>SUMIFS('Work Days'!$P:$P,'Work Days'!$B:$B,A11)</x:f>
        <x:v>0</x:v>
      </x:c>
      <x:c r="K11" s="20" t="n">
        <x:f>SUMIFS('Work Days'!$T:$T,'Work Days'!$B:$B,A11)</x:f>
        <x:v>0</x:v>
      </x:c>
    </x:row>
    <x:row r="12">
      <x:c r="A12" s="26" t="n">
        <x:f>A11+7</x:f>
        <x:v>46255</x:v>
      </x:c>
      <x:c r="B12" s="26" t="n">
        <x:f>A12+6</x:f>
        <x:v>46261</x:v>
      </x:c>
      <x:c r="C12" s="26" t="n">
        <x:f>A12+7</x:f>
        <x:v>46262</x:v>
      </x:c>
      <x:c r="D12" t="n">
        <x:f>COUNTIFS('Work Days'!$B:$B,A12)</x:f>
        <x:v>0</x:v>
      </x:c>
      <x:c r="E12" s="22" t="n">
        <x:f>SUMIFS('Work Days'!$J:$J,'Work Days'!$B:$B,A12)</x:f>
        <x:v>0</x:v>
      </x:c>
      <x:c r="F12" s="22" t="n">
        <x:f>SUMIFS('Work Days'!$L:$L,'Work Days'!$B:$B,A12)</x:f>
        <x:v>0</x:v>
      </x:c>
      <x:c r="G12" s="20" t="n">
        <x:f>SUMIFS('Work Days'!$M:$M,'Work Days'!$B:$B,A12)</x:f>
        <x:v>0</x:v>
      </x:c>
      <x:c r="H12" s="20" t="n">
        <x:f>SUMIFS('Work Days'!$N:$N,'Work Days'!$B:$B,A12)</x:f>
        <x:v>0</x:v>
      </x:c>
      <x:c r="I12" s="20" t="n">
        <x:f>SUMIFS('Work Days'!$R:$R,'Work Days'!$B:$B,A12)</x:f>
        <x:v>0</x:v>
      </x:c>
      <x:c r="J12" s="22" t="n">
        <x:f>SUMIFS('Work Days'!$P:$P,'Work Days'!$B:$B,A12)</x:f>
        <x:v>0</x:v>
      </x:c>
      <x:c r="K12" s="20" t="n">
        <x:f>SUMIFS('Work Days'!$T:$T,'Work Days'!$B:$B,A12)</x:f>
        <x:v>0</x:v>
      </x:c>
    </x:row>
    <x:row r="13">
      <x:c r="A13" s="26" t="n">
        <x:f>A12+7</x:f>
        <x:v>46262</x:v>
      </x:c>
      <x:c r="B13" s="26" t="n">
        <x:f>A13+6</x:f>
        <x:v>46268</x:v>
      </x:c>
      <x:c r="C13" s="26" t="n">
        <x:f>A13+7</x:f>
        <x:v>46269</x:v>
      </x:c>
      <x:c r="D13" t="n">
        <x:f>COUNTIFS('Work Days'!$B:$B,A13)</x:f>
        <x:v>0</x:v>
      </x:c>
      <x:c r="E13" s="22" t="n">
        <x:f>SUMIFS('Work Days'!$J:$J,'Work Days'!$B:$B,A13)</x:f>
        <x:v>0</x:v>
      </x:c>
      <x:c r="F13" s="22" t="n">
        <x:f>SUMIFS('Work Days'!$L:$L,'Work Days'!$B:$B,A13)</x:f>
        <x:v>0</x:v>
      </x:c>
      <x:c r="G13" s="20" t="n">
        <x:f>SUMIFS('Work Days'!$M:$M,'Work Days'!$B:$B,A13)</x:f>
        <x:v>0</x:v>
      </x:c>
      <x:c r="H13" s="20" t="n">
        <x:f>SUMIFS('Work Days'!$N:$N,'Work Days'!$B:$B,A13)</x:f>
        <x:v>0</x:v>
      </x:c>
      <x:c r="I13" s="20" t="n">
        <x:f>SUMIFS('Work Days'!$R:$R,'Work Days'!$B:$B,A13)</x:f>
        <x:v>0</x:v>
      </x:c>
      <x:c r="J13" s="22" t="n">
        <x:f>SUMIFS('Work Days'!$P:$P,'Work Days'!$B:$B,A13)</x:f>
        <x:v>0</x:v>
      </x:c>
      <x:c r="K13" s="20" t="n">
        <x:f>SUMIFS('Work Days'!$T:$T,'Work Days'!$B:$B,A13)</x:f>
        <x:v>0</x:v>
      </x:c>
    </x:row>
    <x:row r="14">
      <x:c r="A14" s="26" t="n">
        <x:f>A13+7</x:f>
        <x:v>46269</x:v>
      </x:c>
      <x:c r="B14" s="26" t="n">
        <x:f>A14+6</x:f>
        <x:v>46275</x:v>
      </x:c>
      <x:c r="C14" s="26" t="n">
        <x:f>A14+7</x:f>
        <x:v>46276</x:v>
      </x:c>
      <x:c r="D14" t="n">
        <x:f>COUNTIFS('Work Days'!$B:$B,A14)</x:f>
        <x:v>0</x:v>
      </x:c>
      <x:c r="E14" s="22" t="n">
        <x:f>SUMIFS('Work Days'!$J:$J,'Work Days'!$B:$B,A14)</x:f>
        <x:v>0</x:v>
      </x:c>
      <x:c r="F14" s="22" t="n">
        <x:f>SUMIFS('Work Days'!$L:$L,'Work Days'!$B:$B,A14)</x:f>
        <x:v>0</x:v>
      </x:c>
      <x:c r="G14" s="20" t="n">
        <x:f>SUMIFS('Work Days'!$M:$M,'Work Days'!$B:$B,A14)</x:f>
        <x:v>0</x:v>
      </x:c>
      <x:c r="H14" s="20" t="n">
        <x:f>SUMIFS('Work Days'!$N:$N,'Work Days'!$B:$B,A14)</x:f>
        <x:v>0</x:v>
      </x:c>
      <x:c r="I14" s="20" t="n">
        <x:f>SUMIFS('Work Days'!$R:$R,'Work Days'!$B:$B,A14)</x:f>
        <x:v>0</x:v>
      </x:c>
      <x:c r="J14" s="22" t="n">
        <x:f>SUMIFS('Work Days'!$P:$P,'Work Days'!$B:$B,A14)</x:f>
        <x:v>0</x:v>
      </x:c>
      <x:c r="K14" s="20" t="n">
        <x:f>SUMIFS('Work Days'!$T:$T,'Work Days'!$B:$B,A14)</x:f>
        <x:v>0</x:v>
      </x:c>
    </x:row>
    <x:row r="15">
      <x:c r="A15" s="26" t="n">
        <x:f>A14+7</x:f>
        <x:v>46276</x:v>
      </x:c>
      <x:c r="B15" s="26" t="n">
        <x:f>A15+6</x:f>
        <x:v>46282</x:v>
      </x:c>
      <x:c r="C15" s="26" t="n">
        <x:f>A15+7</x:f>
        <x:v>46283</x:v>
      </x:c>
      <x:c r="D15" t="n">
        <x:f>COUNTIFS('Work Days'!$B:$B,A15)</x:f>
        <x:v>0</x:v>
      </x:c>
      <x:c r="E15" s="22" t="n">
        <x:f>SUMIFS('Work Days'!$J:$J,'Work Days'!$B:$B,A15)</x:f>
        <x:v>0</x:v>
      </x:c>
      <x:c r="F15" s="22" t="n">
        <x:f>SUMIFS('Work Days'!$L:$L,'Work Days'!$B:$B,A15)</x:f>
        <x:v>0</x:v>
      </x:c>
      <x:c r="G15" s="20" t="n">
        <x:f>SUMIFS('Work Days'!$M:$M,'Work Days'!$B:$B,A15)</x:f>
        <x:v>0</x:v>
      </x:c>
      <x:c r="H15" s="20" t="n">
        <x:f>SUMIFS('Work Days'!$N:$N,'Work Days'!$B:$B,A15)</x:f>
        <x:v>0</x:v>
      </x:c>
      <x:c r="I15" s="20" t="n">
        <x:f>SUMIFS('Work Days'!$R:$R,'Work Days'!$B:$B,A15)</x:f>
        <x:v>0</x:v>
      </x:c>
      <x:c r="J15" s="22" t="n">
        <x:f>SUMIFS('Work Days'!$P:$P,'Work Days'!$B:$B,A15)</x:f>
        <x:v>0</x:v>
      </x:c>
      <x:c r="K15" s="20" t="n">
        <x:f>SUMIFS('Work Days'!$T:$T,'Work Days'!$B:$B,A15)</x:f>
        <x:v>0</x:v>
      </x:c>
    </x:row>
    <x:row r="16">
      <x:c r="A16" s="26" t="n">
        <x:f>A15+7</x:f>
        <x:v>46283</x:v>
      </x:c>
      <x:c r="B16" s="26" t="n">
        <x:f>A16+6</x:f>
        <x:v>46289</x:v>
      </x:c>
      <x:c r="C16" s="26" t="n">
        <x:f>A16+7</x:f>
        <x:v>46290</x:v>
      </x:c>
      <x:c r="D16" t="n">
        <x:f>COUNTIFS('Work Days'!$B:$B,A16)</x:f>
        <x:v>0</x:v>
      </x:c>
      <x:c r="E16" s="22" t="n">
        <x:f>SUMIFS('Work Days'!$J:$J,'Work Days'!$B:$B,A16)</x:f>
        <x:v>0</x:v>
      </x:c>
      <x:c r="F16" s="22" t="n">
        <x:f>SUMIFS('Work Days'!$L:$L,'Work Days'!$B:$B,A16)</x:f>
        <x:v>0</x:v>
      </x:c>
      <x:c r="G16" s="20" t="n">
        <x:f>SUMIFS('Work Days'!$M:$M,'Work Days'!$B:$B,A16)</x:f>
        <x:v>0</x:v>
      </x:c>
      <x:c r="H16" s="20" t="n">
        <x:f>SUMIFS('Work Days'!$N:$N,'Work Days'!$B:$B,A16)</x:f>
        <x:v>0</x:v>
      </x:c>
      <x:c r="I16" s="20" t="n">
        <x:f>SUMIFS('Work Days'!$R:$R,'Work Days'!$B:$B,A16)</x:f>
        <x:v>0</x:v>
      </x:c>
      <x:c r="J16" s="22" t="n">
        <x:f>SUMIFS('Work Days'!$P:$P,'Work Days'!$B:$B,A16)</x:f>
        <x:v>0</x:v>
      </x:c>
      <x:c r="K16" s="20" t="n">
        <x:f>SUMIFS('Work Days'!$T:$T,'Work Days'!$B:$B,A16)</x:f>
        <x:v>0</x:v>
      </x:c>
    </x:row>
    <x:row r="17">
      <x:c r="A17" s="26" t="n">
        <x:f>A16+7</x:f>
        <x:v>46290</x:v>
      </x:c>
      <x:c r="B17" s="26" t="n">
        <x:f>A17+6</x:f>
        <x:v>46296</x:v>
      </x:c>
      <x:c r="C17" s="26" t="n">
        <x:f>A17+7</x:f>
        <x:v>46297</x:v>
      </x:c>
      <x:c r="D17" t="n">
        <x:f>COUNTIFS('Work Days'!$B:$B,A17)</x:f>
        <x:v>0</x:v>
      </x:c>
      <x:c r="E17" s="22" t="n">
        <x:f>SUMIFS('Work Days'!$J:$J,'Work Days'!$B:$B,A17)</x:f>
        <x:v>0</x:v>
      </x:c>
      <x:c r="F17" s="22" t="n">
        <x:f>SUMIFS('Work Days'!$L:$L,'Work Days'!$B:$B,A17)</x:f>
        <x:v>0</x:v>
      </x:c>
      <x:c r="G17" s="20" t="n">
        <x:f>SUMIFS('Work Days'!$M:$M,'Work Days'!$B:$B,A17)</x:f>
        <x:v>0</x:v>
      </x:c>
      <x:c r="H17" s="20" t="n">
        <x:f>SUMIFS('Work Days'!$N:$N,'Work Days'!$B:$B,A17)</x:f>
        <x:v>0</x:v>
      </x:c>
      <x:c r="I17" s="20" t="n">
        <x:f>SUMIFS('Work Days'!$R:$R,'Work Days'!$B:$B,A17)</x:f>
        <x:v>0</x:v>
      </x:c>
      <x:c r="J17" s="22" t="n">
        <x:f>SUMIFS('Work Days'!$P:$P,'Work Days'!$B:$B,A17)</x:f>
        <x:v>0</x:v>
      </x:c>
      <x:c r="K17" s="20" t="n">
        <x:f>SUMIFS('Work Days'!$T:$T,'Work Days'!$B:$B,A17)</x:f>
        <x:v>0</x:v>
      </x:c>
    </x:row>
    <x:row r="18">
      <x:c r="A18" s="26" t="n">
        <x:f>A17+7</x:f>
        <x:v>46297</x:v>
      </x:c>
      <x:c r="B18" s="26" t="n">
        <x:f>A18+6</x:f>
        <x:v>46303</x:v>
      </x:c>
      <x:c r="C18" s="26" t="n">
        <x:f>A18+7</x:f>
        <x:v>46304</x:v>
      </x:c>
      <x:c r="D18" t="n">
        <x:f>COUNTIFS('Work Days'!$B:$B,A18)</x:f>
        <x:v>0</x:v>
      </x:c>
      <x:c r="E18" s="22" t="n">
        <x:f>SUMIFS('Work Days'!$J:$J,'Work Days'!$B:$B,A18)</x:f>
        <x:v>0</x:v>
      </x:c>
      <x:c r="F18" s="22" t="n">
        <x:f>SUMIFS('Work Days'!$L:$L,'Work Days'!$B:$B,A18)</x:f>
        <x:v>0</x:v>
      </x:c>
      <x:c r="G18" s="20" t="n">
        <x:f>SUMIFS('Work Days'!$M:$M,'Work Days'!$B:$B,A18)</x:f>
        <x:v>0</x:v>
      </x:c>
      <x:c r="H18" s="20" t="n">
        <x:f>SUMIFS('Work Days'!$N:$N,'Work Days'!$B:$B,A18)</x:f>
        <x:v>0</x:v>
      </x:c>
      <x:c r="I18" s="20" t="n">
        <x:f>SUMIFS('Work Days'!$R:$R,'Work Days'!$B:$B,A18)</x:f>
        <x:v>0</x:v>
      </x:c>
      <x:c r="J18" s="22" t="n">
        <x:f>SUMIFS('Work Days'!$P:$P,'Work Days'!$B:$B,A18)</x:f>
        <x:v>0</x:v>
      </x:c>
      <x:c r="K18" s="20" t="n">
        <x:f>SUMIFS('Work Days'!$T:$T,'Work Days'!$B:$B,A18)</x:f>
        <x:v>0</x:v>
      </x:c>
    </x:row>
    <x:row r="19">
      <x:c r="A19" s="26" t="n">
        <x:f>A18+7</x:f>
        <x:v>46304</x:v>
      </x:c>
      <x:c r="B19" s="26" t="n">
        <x:f>A19+6</x:f>
        <x:v>46310</x:v>
      </x:c>
      <x:c r="C19" s="26" t="n">
        <x:f>A19+7</x:f>
        <x:v>46311</x:v>
      </x:c>
      <x:c r="D19" t="n">
        <x:f>COUNTIFS('Work Days'!$B:$B,A19)</x:f>
        <x:v>0</x:v>
      </x:c>
      <x:c r="E19" s="22" t="n">
        <x:f>SUMIFS('Work Days'!$J:$J,'Work Days'!$B:$B,A19)</x:f>
        <x:v>0</x:v>
      </x:c>
      <x:c r="F19" s="22" t="n">
        <x:f>SUMIFS('Work Days'!$L:$L,'Work Days'!$B:$B,A19)</x:f>
        <x:v>0</x:v>
      </x:c>
      <x:c r="G19" s="20" t="n">
        <x:f>SUMIFS('Work Days'!$M:$M,'Work Days'!$B:$B,A19)</x:f>
        <x:v>0</x:v>
      </x:c>
      <x:c r="H19" s="20" t="n">
        <x:f>SUMIFS('Work Days'!$N:$N,'Work Days'!$B:$B,A19)</x:f>
        <x:v>0</x:v>
      </x:c>
      <x:c r="I19" s="20" t="n">
        <x:f>SUMIFS('Work Days'!$R:$R,'Work Days'!$B:$B,A19)</x:f>
        <x:v>0</x:v>
      </x:c>
      <x:c r="J19" s="22" t="n">
        <x:f>SUMIFS('Work Days'!$P:$P,'Work Days'!$B:$B,A19)</x:f>
        <x:v>0</x:v>
      </x:c>
      <x:c r="K19" s="20" t="n">
        <x:f>SUMIFS('Work Days'!$T:$T,'Work Days'!$B:$B,A19)</x:f>
        <x:v>0</x:v>
      </x:c>
    </x:row>
    <x:row r="20">
      <x:c r="A20" s="26" t="n">
        <x:f>A19+7</x:f>
        <x:v>46311</x:v>
      </x:c>
      <x:c r="B20" s="26" t="n">
        <x:f>A20+6</x:f>
        <x:v>46317</x:v>
      </x:c>
      <x:c r="C20" s="26" t="n">
        <x:f>A20+7</x:f>
        <x:v>46318</x:v>
      </x:c>
      <x:c r="D20" t="n">
        <x:f>COUNTIFS('Work Days'!$B:$B,A20)</x:f>
        <x:v>0</x:v>
      </x:c>
      <x:c r="E20" s="22" t="n">
        <x:f>SUMIFS('Work Days'!$J:$J,'Work Days'!$B:$B,A20)</x:f>
        <x:v>0</x:v>
      </x:c>
      <x:c r="F20" s="22" t="n">
        <x:f>SUMIFS('Work Days'!$L:$L,'Work Days'!$B:$B,A20)</x:f>
        <x:v>0</x:v>
      </x:c>
      <x:c r="G20" s="20" t="n">
        <x:f>SUMIFS('Work Days'!$M:$M,'Work Days'!$B:$B,A20)</x:f>
        <x:v>0</x:v>
      </x:c>
      <x:c r="H20" s="20" t="n">
        <x:f>SUMIFS('Work Days'!$N:$N,'Work Days'!$B:$B,A20)</x:f>
        <x:v>0</x:v>
      </x:c>
      <x:c r="I20" s="20" t="n">
        <x:f>SUMIFS('Work Days'!$R:$R,'Work Days'!$B:$B,A20)</x:f>
        <x:v>0</x:v>
      </x:c>
      <x:c r="J20" s="22" t="n">
        <x:f>SUMIFS('Work Days'!$P:$P,'Work Days'!$B:$B,A20)</x:f>
        <x:v>0</x:v>
      </x:c>
      <x:c r="K20" s="20" t="n">
        <x:f>SUMIFS('Work Days'!$T:$T,'Work Days'!$B:$B,A20)</x:f>
        <x:v>0</x:v>
      </x:c>
    </x:row>
    <x:row r="21">
      <x:c r="A21" s="26" t="n">
        <x:f>A20+7</x:f>
        <x:v>46318</x:v>
      </x:c>
      <x:c r="B21" s="26" t="n">
        <x:f>A21+6</x:f>
        <x:v>46324</x:v>
      </x:c>
      <x:c r="C21" s="26" t="n">
        <x:f>A21+7</x:f>
        <x:v>46325</x:v>
      </x:c>
      <x:c r="D21" t="n">
        <x:f>COUNTIFS('Work Days'!$B:$B,A21)</x:f>
        <x:v>0</x:v>
      </x:c>
      <x:c r="E21" s="22" t="n">
        <x:f>SUMIFS('Work Days'!$J:$J,'Work Days'!$B:$B,A21)</x:f>
        <x:v>0</x:v>
      </x:c>
      <x:c r="F21" s="22" t="n">
        <x:f>SUMIFS('Work Days'!$L:$L,'Work Days'!$B:$B,A21)</x:f>
        <x:v>0</x:v>
      </x:c>
      <x:c r="G21" s="20" t="n">
        <x:f>SUMIFS('Work Days'!$M:$M,'Work Days'!$B:$B,A21)</x:f>
        <x:v>0</x:v>
      </x:c>
      <x:c r="H21" s="20" t="n">
        <x:f>SUMIFS('Work Days'!$N:$N,'Work Days'!$B:$B,A21)</x:f>
        <x:v>0</x:v>
      </x:c>
      <x:c r="I21" s="20" t="n">
        <x:f>SUMIFS('Work Days'!$R:$R,'Work Days'!$B:$B,A21)</x:f>
        <x:v>0</x:v>
      </x:c>
      <x:c r="J21" s="22" t="n">
        <x:f>SUMIFS('Work Days'!$P:$P,'Work Days'!$B:$B,A21)</x:f>
        <x:v>0</x:v>
      </x:c>
      <x:c r="K21" s="20" t="n">
        <x:f>SUMIFS('Work Days'!$T:$T,'Work Days'!$B:$B,A21)</x:f>
        <x:v>0</x:v>
      </x:c>
    </x:row>
    <x:row r="22">
      <x:c r="A22" s="26" t="n">
        <x:f>A21+7</x:f>
        <x:v>46325</x:v>
      </x:c>
      <x:c r="B22" s="26" t="n">
        <x:f>A22+6</x:f>
        <x:v>46331</x:v>
      </x:c>
      <x:c r="C22" s="26" t="n">
        <x:f>A22+7</x:f>
        <x:v>46332</x:v>
      </x:c>
      <x:c r="D22" t="n">
        <x:f>COUNTIFS('Work Days'!$B:$B,A22)</x:f>
        <x:v>0</x:v>
      </x:c>
      <x:c r="E22" s="22" t="n">
        <x:f>SUMIFS('Work Days'!$J:$J,'Work Days'!$B:$B,A22)</x:f>
        <x:v>0</x:v>
      </x:c>
      <x:c r="F22" s="22" t="n">
        <x:f>SUMIFS('Work Days'!$L:$L,'Work Days'!$B:$B,A22)</x:f>
        <x:v>0</x:v>
      </x:c>
      <x:c r="G22" s="20" t="n">
        <x:f>SUMIFS('Work Days'!$M:$M,'Work Days'!$B:$B,A22)</x:f>
        <x:v>0</x:v>
      </x:c>
      <x:c r="H22" s="20" t="n">
        <x:f>SUMIFS('Work Days'!$N:$N,'Work Days'!$B:$B,A22)</x:f>
        <x:v>0</x:v>
      </x:c>
      <x:c r="I22" s="20" t="n">
        <x:f>SUMIFS('Work Days'!$R:$R,'Work Days'!$B:$B,A22)</x:f>
        <x:v>0</x:v>
      </x:c>
      <x:c r="J22" s="22" t="n">
        <x:f>SUMIFS('Work Days'!$P:$P,'Work Days'!$B:$B,A22)</x:f>
        <x:v>0</x:v>
      </x:c>
      <x:c r="K22" s="20" t="n">
        <x:f>SUMIFS('Work Days'!$T:$T,'Work Days'!$B:$B,A22)</x:f>
        <x:v>0</x:v>
      </x:c>
    </x:row>
    <x:row r="23">
      <x:c r="A23" s="26" t="n">
        <x:f>A22+7</x:f>
        <x:v>46332</x:v>
      </x:c>
      <x:c r="B23" s="26" t="n">
        <x:f>A23+6</x:f>
        <x:v>46338</x:v>
      </x:c>
      <x:c r="C23" s="26" t="n">
        <x:f>A23+7</x:f>
        <x:v>46339</x:v>
      </x:c>
      <x:c r="D23" t="n">
        <x:f>COUNTIFS('Work Days'!$B:$B,A23)</x:f>
        <x:v>0</x:v>
      </x:c>
      <x:c r="E23" s="22" t="n">
        <x:f>SUMIFS('Work Days'!$J:$J,'Work Days'!$B:$B,A23)</x:f>
        <x:v>0</x:v>
      </x:c>
      <x:c r="F23" s="22" t="n">
        <x:f>SUMIFS('Work Days'!$L:$L,'Work Days'!$B:$B,A23)</x:f>
        <x:v>0</x:v>
      </x:c>
      <x:c r="G23" s="20" t="n">
        <x:f>SUMIFS('Work Days'!$M:$M,'Work Days'!$B:$B,A23)</x:f>
        <x:v>0</x:v>
      </x:c>
      <x:c r="H23" s="20" t="n">
        <x:f>SUMIFS('Work Days'!$N:$N,'Work Days'!$B:$B,A23)</x:f>
        <x:v>0</x:v>
      </x:c>
      <x:c r="I23" s="20" t="n">
        <x:f>SUMIFS('Work Days'!$R:$R,'Work Days'!$B:$B,A23)</x:f>
        <x:v>0</x:v>
      </x:c>
      <x:c r="J23" s="22" t="n">
        <x:f>SUMIFS('Work Days'!$P:$P,'Work Days'!$B:$B,A23)</x:f>
        <x:v>0</x:v>
      </x:c>
      <x:c r="K23" s="20" t="n">
        <x:f>SUMIFS('Work Days'!$T:$T,'Work Days'!$B:$B,A23)</x:f>
        <x:v>0</x:v>
      </x:c>
    </x:row>
    <x:row r="24">
      <x:c r="A24" s="26" t="n">
        <x:f>A23+7</x:f>
        <x:v>46339</x:v>
      </x:c>
      <x:c r="B24" s="26" t="n">
        <x:f>A24+6</x:f>
        <x:v>46345</x:v>
      </x:c>
      <x:c r="C24" s="26" t="n">
        <x:f>A24+7</x:f>
        <x:v>46346</x:v>
      </x:c>
      <x:c r="D24" t="n">
        <x:f>COUNTIFS('Work Days'!$B:$B,A24)</x:f>
        <x:v>0</x:v>
      </x:c>
      <x:c r="E24" s="22" t="n">
        <x:f>SUMIFS('Work Days'!$J:$J,'Work Days'!$B:$B,A24)</x:f>
        <x:v>0</x:v>
      </x:c>
      <x:c r="F24" s="22" t="n">
        <x:f>SUMIFS('Work Days'!$L:$L,'Work Days'!$B:$B,A24)</x:f>
        <x:v>0</x:v>
      </x:c>
      <x:c r="G24" s="20" t="n">
        <x:f>SUMIFS('Work Days'!$M:$M,'Work Days'!$B:$B,A24)</x:f>
        <x:v>0</x:v>
      </x:c>
      <x:c r="H24" s="20" t="n">
        <x:f>SUMIFS('Work Days'!$N:$N,'Work Days'!$B:$B,A24)</x:f>
        <x:v>0</x:v>
      </x:c>
      <x:c r="I24" s="20" t="n">
        <x:f>SUMIFS('Work Days'!$R:$R,'Work Days'!$B:$B,A24)</x:f>
        <x:v>0</x:v>
      </x:c>
      <x:c r="J24" s="22" t="n">
        <x:f>SUMIFS('Work Days'!$P:$P,'Work Days'!$B:$B,A24)</x:f>
        <x:v>0</x:v>
      </x:c>
      <x:c r="K24" s="20" t="n">
        <x:f>SUMIFS('Work Days'!$T:$T,'Work Days'!$B:$B,A24)</x:f>
        <x:v>0</x:v>
      </x:c>
    </x:row>
    <x:row r="25">
      <x:c r="A25" s="26" t="n">
        <x:f>A24+7</x:f>
        <x:v>46346</x:v>
      </x:c>
      <x:c r="B25" s="26" t="n">
        <x:f>A25+6</x:f>
        <x:v>46352</x:v>
      </x:c>
      <x:c r="C25" s="26" t="n">
        <x:f>A25+7</x:f>
        <x:v>46353</x:v>
      </x:c>
      <x:c r="D25" t="n">
        <x:f>COUNTIFS('Work Days'!$B:$B,A25)</x:f>
        <x:v>0</x:v>
      </x:c>
      <x:c r="E25" s="22" t="n">
        <x:f>SUMIFS('Work Days'!$J:$J,'Work Days'!$B:$B,A25)</x:f>
        <x:v>0</x:v>
      </x:c>
      <x:c r="F25" s="22" t="n">
        <x:f>SUMIFS('Work Days'!$L:$L,'Work Days'!$B:$B,A25)</x:f>
        <x:v>0</x:v>
      </x:c>
      <x:c r="G25" s="20" t="n">
        <x:f>SUMIFS('Work Days'!$M:$M,'Work Days'!$B:$B,A25)</x:f>
        <x:v>0</x:v>
      </x:c>
      <x:c r="H25" s="20" t="n">
        <x:f>SUMIFS('Work Days'!$N:$N,'Work Days'!$B:$B,A25)</x:f>
        <x:v>0</x:v>
      </x:c>
      <x:c r="I25" s="20" t="n">
        <x:f>SUMIFS('Work Days'!$R:$R,'Work Days'!$B:$B,A25)</x:f>
        <x:v>0</x:v>
      </x:c>
      <x:c r="J25" s="22" t="n">
        <x:f>SUMIFS('Work Days'!$P:$P,'Work Days'!$B:$B,A25)</x:f>
        <x:v>0</x:v>
      </x:c>
      <x:c r="K25" s="20" t="n">
        <x:f>SUMIFS('Work Days'!$T:$T,'Work Days'!$B:$B,A25)</x:f>
        <x:v>0</x:v>
      </x:c>
    </x:row>
    <x:row r="26">
      <x:c r="A26" s="26" t="n">
        <x:f>A25+7</x:f>
        <x:v>46353</x:v>
      </x:c>
      <x:c r="B26" s="26" t="n">
        <x:f>A26+6</x:f>
        <x:v>46359</x:v>
      </x:c>
      <x:c r="C26" s="26" t="n">
        <x:f>A26+7</x:f>
        <x:v>46360</x:v>
      </x:c>
      <x:c r="D26" t="n">
        <x:f>COUNTIFS('Work Days'!$B:$B,A26)</x:f>
        <x:v>0</x:v>
      </x:c>
      <x:c r="E26" s="22" t="n">
        <x:f>SUMIFS('Work Days'!$J:$J,'Work Days'!$B:$B,A26)</x:f>
        <x:v>0</x:v>
      </x:c>
      <x:c r="F26" s="22" t="n">
        <x:f>SUMIFS('Work Days'!$L:$L,'Work Days'!$B:$B,A26)</x:f>
        <x:v>0</x:v>
      </x:c>
      <x:c r="G26" s="20" t="n">
        <x:f>SUMIFS('Work Days'!$M:$M,'Work Days'!$B:$B,A26)</x:f>
        <x:v>0</x:v>
      </x:c>
      <x:c r="H26" s="20" t="n">
        <x:f>SUMIFS('Work Days'!$N:$N,'Work Days'!$B:$B,A26)</x:f>
        <x:v>0</x:v>
      </x:c>
      <x:c r="I26" s="20" t="n">
        <x:f>SUMIFS('Work Days'!$R:$R,'Work Days'!$B:$B,A26)</x:f>
        <x:v>0</x:v>
      </x:c>
      <x:c r="J26" s="22" t="n">
        <x:f>SUMIFS('Work Days'!$P:$P,'Work Days'!$B:$B,A26)</x:f>
        <x:v>0</x:v>
      </x:c>
      <x:c r="K26" s="20" t="n">
        <x:f>SUMIFS('Work Days'!$T:$T,'Work Days'!$B:$B,A26)</x:f>
        <x:v>0</x:v>
      </x:c>
    </x:row>
    <x:row r="27">
      <x:c r="A27" s="26" t="n">
        <x:f>A26+7</x:f>
        <x:v>46360</x:v>
      </x:c>
      <x:c r="B27" s="26" t="n">
        <x:f>A27+6</x:f>
        <x:v>46366</x:v>
      </x:c>
      <x:c r="C27" s="26" t="n">
        <x:f>A27+7</x:f>
        <x:v>46367</x:v>
      </x:c>
      <x:c r="D27" t="n">
        <x:f>COUNTIFS('Work Days'!$B:$B,A27)</x:f>
        <x:v>0</x:v>
      </x:c>
      <x:c r="E27" s="22" t="n">
        <x:f>SUMIFS('Work Days'!$J:$J,'Work Days'!$B:$B,A27)</x:f>
        <x:v>0</x:v>
      </x:c>
      <x:c r="F27" s="22" t="n">
        <x:f>SUMIFS('Work Days'!$L:$L,'Work Days'!$B:$B,A27)</x:f>
        <x:v>0</x:v>
      </x:c>
      <x:c r="G27" s="20" t="n">
        <x:f>SUMIFS('Work Days'!$M:$M,'Work Days'!$B:$B,A27)</x:f>
        <x:v>0</x:v>
      </x:c>
      <x:c r="H27" s="20" t="n">
        <x:f>SUMIFS('Work Days'!$N:$N,'Work Days'!$B:$B,A27)</x:f>
        <x:v>0</x:v>
      </x:c>
      <x:c r="I27" s="20" t="n">
        <x:f>SUMIFS('Work Days'!$R:$R,'Work Days'!$B:$B,A27)</x:f>
        <x:v>0</x:v>
      </x:c>
      <x:c r="J27" s="22" t="n">
        <x:f>SUMIFS('Work Days'!$P:$P,'Work Days'!$B:$B,A27)</x:f>
        <x:v>0</x:v>
      </x:c>
      <x:c r="K27" s="20" t="n">
        <x:f>SUMIFS('Work Days'!$T:$T,'Work Days'!$B:$B,A27)</x:f>
        <x:v>0</x:v>
      </x:c>
    </x:row>
    <x:row r="28">
      <x:c r="A28" s="26" t="n">
        <x:f>A27+7</x:f>
        <x:v>46367</x:v>
      </x:c>
      <x:c r="B28" s="26" t="n">
        <x:f>A28+6</x:f>
        <x:v>46373</x:v>
      </x:c>
      <x:c r="C28" s="26" t="n">
        <x:f>A28+7</x:f>
        <x:v>46374</x:v>
      </x:c>
      <x:c r="D28" t="n">
        <x:f>COUNTIFS('Work Days'!$B:$B,A28)</x:f>
        <x:v>0</x:v>
      </x:c>
      <x:c r="E28" s="22" t="n">
        <x:f>SUMIFS('Work Days'!$J:$J,'Work Days'!$B:$B,A28)</x:f>
        <x:v>0</x:v>
      </x:c>
      <x:c r="F28" s="22" t="n">
        <x:f>SUMIFS('Work Days'!$L:$L,'Work Days'!$B:$B,A28)</x:f>
        <x:v>0</x:v>
      </x:c>
      <x:c r="G28" s="20" t="n">
        <x:f>SUMIFS('Work Days'!$M:$M,'Work Days'!$B:$B,A28)</x:f>
        <x:v>0</x:v>
      </x:c>
      <x:c r="H28" s="20" t="n">
        <x:f>SUMIFS('Work Days'!$N:$N,'Work Days'!$B:$B,A28)</x:f>
        <x:v>0</x:v>
      </x:c>
      <x:c r="I28" s="20" t="n">
        <x:f>SUMIFS('Work Days'!$R:$R,'Work Days'!$B:$B,A28)</x:f>
        <x:v>0</x:v>
      </x:c>
      <x:c r="J28" s="22" t="n">
        <x:f>SUMIFS('Work Days'!$P:$P,'Work Days'!$B:$B,A28)</x:f>
        <x:v>0</x:v>
      </x:c>
      <x:c r="K28" s="20" t="n">
        <x:f>SUMIFS('Work Days'!$T:$T,'Work Days'!$B:$B,A28)</x:f>
        <x:v>0</x:v>
      </x:c>
    </x:row>
    <x:row r="29">
      <x:c r="A29" s="26" t="n">
        <x:f>A28+7</x:f>
        <x:v>46374</x:v>
      </x:c>
      <x:c r="B29" s="26" t="n">
        <x:f>A29+6</x:f>
        <x:v>46380</x:v>
      </x:c>
      <x:c r="C29" s="26" t="n">
        <x:f>A29+7</x:f>
        <x:v>46381</x:v>
      </x:c>
      <x:c r="D29" t="n">
        <x:f>COUNTIFS('Work Days'!$B:$B,A29)</x:f>
        <x:v>0</x:v>
      </x:c>
      <x:c r="E29" s="22" t="n">
        <x:f>SUMIFS('Work Days'!$J:$J,'Work Days'!$B:$B,A29)</x:f>
        <x:v>0</x:v>
      </x:c>
      <x:c r="F29" s="22" t="n">
        <x:f>SUMIFS('Work Days'!$L:$L,'Work Days'!$B:$B,A29)</x:f>
        <x:v>0</x:v>
      </x:c>
      <x:c r="G29" s="20" t="n">
        <x:f>SUMIFS('Work Days'!$M:$M,'Work Days'!$B:$B,A29)</x:f>
        <x:v>0</x:v>
      </x:c>
      <x:c r="H29" s="20" t="n">
        <x:f>SUMIFS('Work Days'!$N:$N,'Work Days'!$B:$B,A29)</x:f>
        <x:v>0</x:v>
      </x:c>
      <x:c r="I29" s="20" t="n">
        <x:f>SUMIFS('Work Days'!$R:$R,'Work Days'!$B:$B,A29)</x:f>
        <x:v>0</x:v>
      </x:c>
      <x:c r="J29" s="22" t="n">
        <x:f>SUMIFS('Work Days'!$P:$P,'Work Days'!$B:$B,A29)</x:f>
        <x:v>0</x:v>
      </x:c>
      <x:c r="K29" s="20" t="n">
        <x:f>SUMIFS('Work Days'!$T:$T,'Work Days'!$B:$B,A29)</x:f>
        <x:v>0</x:v>
      </x:c>
    </x:row>
    <x:row r="30">
      <x:c r="A30" s="26" t="n">
        <x:f>A29+7</x:f>
        <x:v>46381</x:v>
      </x:c>
      <x:c r="B30" s="26" t="n">
        <x:f>A30+6</x:f>
        <x:v>46387</x:v>
      </x:c>
      <x:c r="C30" s="26" t="n">
        <x:f>A30+7</x:f>
        <x:v>46388</x:v>
      </x:c>
      <x:c r="D30" t="n">
        <x:f>COUNTIFS('Work Days'!$B:$B,A30)</x:f>
        <x:v>0</x:v>
      </x:c>
      <x:c r="E30" s="22" t="n">
        <x:f>SUMIFS('Work Days'!$J:$J,'Work Days'!$B:$B,A30)</x:f>
        <x:v>0</x:v>
      </x:c>
      <x:c r="F30" s="22" t="n">
        <x:f>SUMIFS('Work Days'!$L:$L,'Work Days'!$B:$B,A30)</x:f>
        <x:v>0</x:v>
      </x:c>
      <x:c r="G30" s="20" t="n">
        <x:f>SUMIFS('Work Days'!$M:$M,'Work Days'!$B:$B,A30)</x:f>
        <x:v>0</x:v>
      </x:c>
      <x:c r="H30" s="20" t="n">
        <x:f>SUMIFS('Work Days'!$N:$N,'Work Days'!$B:$B,A30)</x:f>
        <x:v>0</x:v>
      </x:c>
      <x:c r="I30" s="20" t="n">
        <x:f>SUMIFS('Work Days'!$R:$R,'Work Days'!$B:$B,A30)</x:f>
        <x:v>0</x:v>
      </x:c>
      <x:c r="J30" s="22" t="n">
        <x:f>SUMIFS('Work Days'!$P:$P,'Work Days'!$B:$B,A30)</x:f>
        <x:v>0</x:v>
      </x:c>
      <x:c r="K30" s="20" t="n">
        <x:f>SUMIFS('Work Days'!$T:$T,'Work Days'!$B:$B,A30)</x:f>
        <x:v>0</x:v>
      </x:c>
    </x:row>
    <x:row r="31">
      <x:c r="A31" s="26" t="n">
        <x:f>A30+7</x:f>
        <x:v>46388</x:v>
      </x:c>
      <x:c r="B31" s="26" t="n">
        <x:f>A31+6</x:f>
        <x:v>46394</x:v>
      </x:c>
      <x:c r="C31" s="26" t="n">
        <x:f>A31+7</x:f>
        <x:v>46395</x:v>
      </x:c>
      <x:c r="D31" t="n">
        <x:f>COUNTIFS('Work Days'!$B:$B,A31)</x:f>
        <x:v>0</x:v>
      </x:c>
      <x:c r="E31" s="22" t="n">
        <x:f>SUMIFS('Work Days'!$J:$J,'Work Days'!$B:$B,A31)</x:f>
        <x:v>0</x:v>
      </x:c>
      <x:c r="F31" s="22" t="n">
        <x:f>SUMIFS('Work Days'!$L:$L,'Work Days'!$B:$B,A31)</x:f>
        <x:v>0</x:v>
      </x:c>
      <x:c r="G31" s="20" t="n">
        <x:f>SUMIFS('Work Days'!$M:$M,'Work Days'!$B:$B,A31)</x:f>
        <x:v>0</x:v>
      </x:c>
      <x:c r="H31" s="20" t="n">
        <x:f>SUMIFS('Work Days'!$N:$N,'Work Days'!$B:$B,A31)</x:f>
        <x:v>0</x:v>
      </x:c>
      <x:c r="I31" s="20" t="n">
        <x:f>SUMIFS('Work Days'!$R:$R,'Work Days'!$B:$B,A31)</x:f>
        <x:v>0</x:v>
      </x:c>
      <x:c r="J31" s="22" t="n">
        <x:f>SUMIFS('Work Days'!$P:$P,'Work Days'!$B:$B,A31)</x:f>
        <x:v>0</x:v>
      </x:c>
      <x:c r="K31" s="20" t="n">
        <x:f>SUMIFS('Work Days'!$T:$T,'Work Days'!$B:$B,A31)</x:f>
        <x:v>0</x:v>
      </x:c>
    </x:row>
    <x:row r="32">
      <x:c r="A32" s="26" t="n">
        <x:f>A31+7</x:f>
        <x:v>46395</x:v>
      </x:c>
      <x:c r="B32" s="26" t="n">
        <x:f>A32+6</x:f>
        <x:v>46401</x:v>
      </x:c>
      <x:c r="C32" s="26" t="n">
        <x:f>A32+7</x:f>
        <x:v>46402</x:v>
      </x:c>
      <x:c r="D32" t="n">
        <x:f>COUNTIFS('Work Days'!$B:$B,A32)</x:f>
        <x:v>0</x:v>
      </x:c>
      <x:c r="E32" s="22" t="n">
        <x:f>SUMIFS('Work Days'!$J:$J,'Work Days'!$B:$B,A32)</x:f>
        <x:v>0</x:v>
      </x:c>
      <x:c r="F32" s="22" t="n">
        <x:f>SUMIFS('Work Days'!$L:$L,'Work Days'!$B:$B,A32)</x:f>
        <x:v>0</x:v>
      </x:c>
      <x:c r="G32" s="20" t="n">
        <x:f>SUMIFS('Work Days'!$M:$M,'Work Days'!$B:$B,A32)</x:f>
        <x:v>0</x:v>
      </x:c>
      <x:c r="H32" s="20" t="n">
        <x:f>SUMIFS('Work Days'!$N:$N,'Work Days'!$B:$B,A32)</x:f>
        <x:v>0</x:v>
      </x:c>
      <x:c r="I32" s="20" t="n">
        <x:f>SUMIFS('Work Days'!$R:$R,'Work Days'!$B:$B,A32)</x:f>
        <x:v>0</x:v>
      </x:c>
      <x:c r="J32" s="22" t="n">
        <x:f>SUMIFS('Work Days'!$P:$P,'Work Days'!$B:$B,A32)</x:f>
        <x:v>0</x:v>
      </x:c>
      <x:c r="K32" s="20" t="n">
        <x:f>SUMIFS('Work Days'!$T:$T,'Work Days'!$B:$B,A32)</x:f>
        <x:v>0</x:v>
      </x:c>
    </x:row>
    <x:row r="33">
      <x:c r="A33" s="26" t="n">
        <x:f>A32+7</x:f>
        <x:v>46402</x:v>
      </x:c>
      <x:c r="B33" s="26" t="n">
        <x:f>A33+6</x:f>
        <x:v>46408</x:v>
      </x:c>
      <x:c r="C33" s="26" t="n">
        <x:f>A33+7</x:f>
        <x:v>46409</x:v>
      </x:c>
      <x:c r="D33" t="n">
        <x:f>COUNTIFS('Work Days'!$B:$B,A33)</x:f>
        <x:v>0</x:v>
      </x:c>
      <x:c r="E33" s="22" t="n">
        <x:f>SUMIFS('Work Days'!$J:$J,'Work Days'!$B:$B,A33)</x:f>
        <x:v>0</x:v>
      </x:c>
      <x:c r="F33" s="22" t="n">
        <x:f>SUMIFS('Work Days'!$L:$L,'Work Days'!$B:$B,A33)</x:f>
        <x:v>0</x:v>
      </x:c>
      <x:c r="G33" s="20" t="n">
        <x:f>SUMIFS('Work Days'!$M:$M,'Work Days'!$B:$B,A33)</x:f>
        <x:v>0</x:v>
      </x:c>
      <x:c r="H33" s="20" t="n">
        <x:f>SUMIFS('Work Days'!$N:$N,'Work Days'!$B:$B,A33)</x:f>
        <x:v>0</x:v>
      </x:c>
      <x:c r="I33" s="20" t="n">
        <x:f>SUMIFS('Work Days'!$R:$R,'Work Days'!$B:$B,A33)</x:f>
        <x:v>0</x:v>
      </x:c>
      <x:c r="J33" s="22" t="n">
        <x:f>SUMIFS('Work Days'!$P:$P,'Work Days'!$B:$B,A33)</x:f>
        <x:v>0</x:v>
      </x:c>
      <x:c r="K33" s="20" t="n">
        <x:f>SUMIFS('Work Days'!$T:$T,'Work Days'!$B:$B,A33)</x:f>
        <x:v>0</x:v>
      </x:c>
    </x:row>
    <x:row r="34">
      <x:c r="A34" s="26" t="n">
        <x:f>A33+7</x:f>
        <x:v>46409</x:v>
      </x:c>
      <x:c r="B34" s="26" t="n">
        <x:f>A34+6</x:f>
        <x:v>46415</x:v>
      </x:c>
      <x:c r="C34" s="26" t="n">
        <x:f>A34+7</x:f>
        <x:v>46416</x:v>
      </x:c>
      <x:c r="D34" t="n">
        <x:f>COUNTIFS('Work Days'!$B:$B,A34)</x:f>
        <x:v>0</x:v>
      </x:c>
      <x:c r="E34" s="22" t="n">
        <x:f>SUMIFS('Work Days'!$J:$J,'Work Days'!$B:$B,A34)</x:f>
        <x:v>0</x:v>
      </x:c>
      <x:c r="F34" s="22" t="n">
        <x:f>SUMIFS('Work Days'!$L:$L,'Work Days'!$B:$B,A34)</x:f>
        <x:v>0</x:v>
      </x:c>
      <x:c r="G34" s="20" t="n">
        <x:f>SUMIFS('Work Days'!$M:$M,'Work Days'!$B:$B,A34)</x:f>
        <x:v>0</x:v>
      </x:c>
      <x:c r="H34" s="20" t="n">
        <x:f>SUMIFS('Work Days'!$N:$N,'Work Days'!$B:$B,A34)</x:f>
        <x:v>0</x:v>
      </x:c>
      <x:c r="I34" s="20" t="n">
        <x:f>SUMIFS('Work Days'!$R:$R,'Work Days'!$B:$B,A34)</x:f>
        <x:v>0</x:v>
      </x:c>
      <x:c r="J34" s="22" t="n">
        <x:f>SUMIFS('Work Days'!$P:$P,'Work Days'!$B:$B,A34)</x:f>
        <x:v>0</x:v>
      </x:c>
      <x:c r="K34" s="20" t="n">
        <x:f>SUMIFS('Work Days'!$T:$T,'Work Days'!$B:$B,A34)</x:f>
        <x:v>0</x:v>
      </x:c>
    </x:row>
    <x:row r="35">
      <x:c r="A35" s="26" t="n">
        <x:f>A34+7</x:f>
        <x:v>46416</x:v>
      </x:c>
      <x:c r="B35" s="26" t="n">
        <x:f>A35+6</x:f>
        <x:v>46422</x:v>
      </x:c>
      <x:c r="C35" s="26" t="n">
        <x:f>A35+7</x:f>
        <x:v>46423</x:v>
      </x:c>
      <x:c r="D35" t="n">
        <x:f>COUNTIFS('Work Days'!$B:$B,A35)</x:f>
        <x:v>0</x:v>
      </x:c>
      <x:c r="E35" s="22" t="n">
        <x:f>SUMIFS('Work Days'!$J:$J,'Work Days'!$B:$B,A35)</x:f>
        <x:v>0</x:v>
      </x:c>
      <x:c r="F35" s="22" t="n">
        <x:f>SUMIFS('Work Days'!$L:$L,'Work Days'!$B:$B,A35)</x:f>
        <x:v>0</x:v>
      </x:c>
      <x:c r="G35" s="20" t="n">
        <x:f>SUMIFS('Work Days'!$M:$M,'Work Days'!$B:$B,A35)</x:f>
        <x:v>0</x:v>
      </x:c>
      <x:c r="H35" s="20" t="n">
        <x:f>SUMIFS('Work Days'!$N:$N,'Work Days'!$B:$B,A35)</x:f>
        <x:v>0</x:v>
      </x:c>
      <x:c r="I35" s="20" t="n">
        <x:f>SUMIFS('Work Days'!$R:$R,'Work Days'!$B:$B,A35)</x:f>
        <x:v>0</x:v>
      </x:c>
      <x:c r="J35" s="22" t="n">
        <x:f>SUMIFS('Work Days'!$P:$P,'Work Days'!$B:$B,A35)</x:f>
        <x:v>0</x:v>
      </x:c>
      <x:c r="K35" s="20" t="n">
        <x:f>SUMIFS('Work Days'!$T:$T,'Work Days'!$B:$B,A35)</x:f>
        <x:v>0</x:v>
      </x:c>
    </x:row>
    <x:row r="36">
      <x:c r="A36" s="26" t="n">
        <x:f>A35+7</x:f>
        <x:v>46423</x:v>
      </x:c>
      <x:c r="B36" s="26" t="n">
        <x:f>A36+6</x:f>
        <x:v>46429</x:v>
      </x:c>
      <x:c r="C36" s="26" t="n">
        <x:f>A36+7</x:f>
        <x:v>46430</x:v>
      </x:c>
      <x:c r="D36" t="n">
        <x:f>COUNTIFS('Work Days'!$B:$B,A36)</x:f>
        <x:v>0</x:v>
      </x:c>
      <x:c r="E36" s="22" t="n">
        <x:f>SUMIFS('Work Days'!$J:$J,'Work Days'!$B:$B,A36)</x:f>
        <x:v>0</x:v>
      </x:c>
      <x:c r="F36" s="22" t="n">
        <x:f>SUMIFS('Work Days'!$L:$L,'Work Days'!$B:$B,A36)</x:f>
        <x:v>0</x:v>
      </x:c>
      <x:c r="G36" s="20" t="n">
        <x:f>SUMIFS('Work Days'!$M:$M,'Work Days'!$B:$B,A36)</x:f>
        <x:v>0</x:v>
      </x:c>
      <x:c r="H36" s="20" t="n">
        <x:f>SUMIFS('Work Days'!$N:$N,'Work Days'!$B:$B,A36)</x:f>
        <x:v>0</x:v>
      </x:c>
      <x:c r="I36" s="20" t="n">
        <x:f>SUMIFS('Work Days'!$R:$R,'Work Days'!$B:$B,A36)</x:f>
        <x:v>0</x:v>
      </x:c>
      <x:c r="J36" s="22" t="n">
        <x:f>SUMIFS('Work Days'!$P:$P,'Work Days'!$B:$B,A36)</x:f>
        <x:v>0</x:v>
      </x:c>
      <x:c r="K36" s="20" t="n">
        <x:f>SUMIFS('Work Days'!$T:$T,'Work Days'!$B:$B,A36)</x:f>
        <x:v>0</x:v>
      </x:c>
    </x:row>
    <x:row r="37">
      <x:c r="A37" s="26" t="n">
        <x:f>A36+7</x:f>
        <x:v>46430</x:v>
      </x:c>
      <x:c r="B37" s="26" t="n">
        <x:f>A37+6</x:f>
        <x:v>46436</x:v>
      </x:c>
      <x:c r="C37" s="26" t="n">
        <x:f>A37+7</x:f>
        <x:v>46437</x:v>
      </x:c>
      <x:c r="D37" t="n">
        <x:f>COUNTIFS('Work Days'!$B:$B,A37)</x:f>
        <x:v>0</x:v>
      </x:c>
      <x:c r="E37" s="22" t="n">
        <x:f>SUMIFS('Work Days'!$J:$J,'Work Days'!$B:$B,A37)</x:f>
        <x:v>0</x:v>
      </x:c>
      <x:c r="F37" s="22" t="n">
        <x:f>SUMIFS('Work Days'!$L:$L,'Work Days'!$B:$B,A37)</x:f>
        <x:v>0</x:v>
      </x:c>
      <x:c r="G37" s="20" t="n">
        <x:f>SUMIFS('Work Days'!$M:$M,'Work Days'!$B:$B,A37)</x:f>
        <x:v>0</x:v>
      </x:c>
      <x:c r="H37" s="20" t="n">
        <x:f>SUMIFS('Work Days'!$N:$N,'Work Days'!$B:$B,A37)</x:f>
        <x:v>0</x:v>
      </x:c>
      <x:c r="I37" s="20" t="n">
        <x:f>SUMIFS('Work Days'!$R:$R,'Work Days'!$B:$B,A37)</x:f>
        <x:v>0</x:v>
      </x:c>
      <x:c r="J37" s="22" t="n">
        <x:f>SUMIFS('Work Days'!$P:$P,'Work Days'!$B:$B,A37)</x:f>
        <x:v>0</x:v>
      </x:c>
      <x:c r="K37" s="20" t="n">
        <x:f>SUMIFS('Work Days'!$T:$T,'Work Days'!$B:$B,A37)</x:f>
        <x:v>0</x:v>
      </x:c>
    </x:row>
    <x:row r="38">
      <x:c r="A38" s="26" t="n">
        <x:f>A37+7</x:f>
        <x:v>46437</x:v>
      </x:c>
      <x:c r="B38" s="26" t="n">
        <x:f>A38+6</x:f>
        <x:v>46443</x:v>
      </x:c>
      <x:c r="C38" s="26" t="n">
        <x:f>A38+7</x:f>
        <x:v>46444</x:v>
      </x:c>
      <x:c r="D38" t="n">
        <x:f>COUNTIFS('Work Days'!$B:$B,A38)</x:f>
        <x:v>0</x:v>
      </x:c>
      <x:c r="E38" s="22" t="n">
        <x:f>SUMIFS('Work Days'!$J:$J,'Work Days'!$B:$B,A38)</x:f>
        <x:v>0</x:v>
      </x:c>
      <x:c r="F38" s="22" t="n">
        <x:f>SUMIFS('Work Days'!$L:$L,'Work Days'!$B:$B,A38)</x:f>
        <x:v>0</x:v>
      </x:c>
      <x:c r="G38" s="20" t="n">
        <x:f>SUMIFS('Work Days'!$M:$M,'Work Days'!$B:$B,A38)</x:f>
        <x:v>0</x:v>
      </x:c>
      <x:c r="H38" s="20" t="n">
        <x:f>SUMIFS('Work Days'!$N:$N,'Work Days'!$B:$B,A38)</x:f>
        <x:v>0</x:v>
      </x:c>
      <x:c r="I38" s="20" t="n">
        <x:f>SUMIFS('Work Days'!$R:$R,'Work Days'!$B:$B,A38)</x:f>
        <x:v>0</x:v>
      </x:c>
      <x:c r="J38" s="22" t="n">
        <x:f>SUMIFS('Work Days'!$P:$P,'Work Days'!$B:$B,A38)</x:f>
        <x:v>0</x:v>
      </x:c>
      <x:c r="K38" s="20" t="n">
        <x:f>SUMIFS('Work Days'!$T:$T,'Work Days'!$B:$B,A38)</x:f>
        <x:v>0</x:v>
      </x:c>
    </x:row>
    <x:row r="39">
      <x:c r="A39" s="26" t="n">
        <x:f>A38+7</x:f>
        <x:v>46444</x:v>
      </x:c>
      <x:c r="B39" s="26" t="n">
        <x:f>A39+6</x:f>
        <x:v>46450</x:v>
      </x:c>
      <x:c r="C39" s="26" t="n">
        <x:f>A39+7</x:f>
        <x:v>46451</x:v>
      </x:c>
      <x:c r="D39" t="n">
        <x:f>COUNTIFS('Work Days'!$B:$B,A39)</x:f>
        <x:v>0</x:v>
      </x:c>
      <x:c r="E39" s="22" t="n">
        <x:f>SUMIFS('Work Days'!$J:$J,'Work Days'!$B:$B,A39)</x:f>
        <x:v>0</x:v>
      </x:c>
      <x:c r="F39" s="22" t="n">
        <x:f>SUMIFS('Work Days'!$L:$L,'Work Days'!$B:$B,A39)</x:f>
        <x:v>0</x:v>
      </x:c>
      <x:c r="G39" s="20" t="n">
        <x:f>SUMIFS('Work Days'!$M:$M,'Work Days'!$B:$B,A39)</x:f>
        <x:v>0</x:v>
      </x:c>
      <x:c r="H39" s="20" t="n">
        <x:f>SUMIFS('Work Days'!$N:$N,'Work Days'!$B:$B,A39)</x:f>
        <x:v>0</x:v>
      </x:c>
      <x:c r="I39" s="20" t="n">
        <x:f>SUMIFS('Work Days'!$R:$R,'Work Days'!$B:$B,A39)</x:f>
        <x:v>0</x:v>
      </x:c>
      <x:c r="J39" s="22" t="n">
        <x:f>SUMIFS('Work Days'!$P:$P,'Work Days'!$B:$B,A39)</x:f>
        <x:v>0</x:v>
      </x:c>
      <x:c r="K39" s="20" t="n">
        <x:f>SUMIFS('Work Days'!$T:$T,'Work Days'!$B:$B,A39)</x:f>
        <x:v>0</x:v>
      </x:c>
    </x:row>
    <x:row r="40">
      <x:c r="A40" s="26" t="n">
        <x:f>A39+7</x:f>
        <x:v>46451</x:v>
      </x:c>
      <x:c r="B40" s="26" t="n">
        <x:f>A40+6</x:f>
        <x:v>46457</x:v>
      </x:c>
      <x:c r="C40" s="26" t="n">
        <x:f>A40+7</x:f>
        <x:v>46458</x:v>
      </x:c>
      <x:c r="D40" t="n">
        <x:f>COUNTIFS('Work Days'!$B:$B,A40)</x:f>
        <x:v>0</x:v>
      </x:c>
      <x:c r="E40" s="22" t="n">
        <x:f>SUMIFS('Work Days'!$J:$J,'Work Days'!$B:$B,A40)</x:f>
        <x:v>0</x:v>
      </x:c>
      <x:c r="F40" s="22" t="n">
        <x:f>SUMIFS('Work Days'!$L:$L,'Work Days'!$B:$B,A40)</x:f>
        <x:v>0</x:v>
      </x:c>
      <x:c r="G40" s="20" t="n">
        <x:f>SUMIFS('Work Days'!$M:$M,'Work Days'!$B:$B,A40)</x:f>
        <x:v>0</x:v>
      </x:c>
      <x:c r="H40" s="20" t="n">
        <x:f>SUMIFS('Work Days'!$N:$N,'Work Days'!$B:$B,A40)</x:f>
        <x:v>0</x:v>
      </x:c>
      <x:c r="I40" s="20" t="n">
        <x:f>SUMIFS('Work Days'!$R:$R,'Work Days'!$B:$B,A40)</x:f>
        <x:v>0</x:v>
      </x:c>
      <x:c r="J40" s="22" t="n">
        <x:f>SUMIFS('Work Days'!$P:$P,'Work Days'!$B:$B,A40)</x:f>
        <x:v>0</x:v>
      </x:c>
      <x:c r="K40" s="20" t="n">
        <x:f>SUMIFS('Work Days'!$T:$T,'Work Days'!$B:$B,A40)</x:f>
        <x:v>0</x:v>
      </x:c>
    </x:row>
    <x:row r="41">
      <x:c r="A41" s="26" t="n">
        <x:f>A40+7</x:f>
        <x:v>46458</x:v>
      </x:c>
      <x:c r="B41" s="26" t="n">
        <x:f>A41+6</x:f>
        <x:v>46464</x:v>
      </x:c>
      <x:c r="C41" s="26" t="n">
        <x:f>A41+7</x:f>
        <x:v>46465</x:v>
      </x:c>
      <x:c r="D41" t="n">
        <x:f>COUNTIFS('Work Days'!$B:$B,A41)</x:f>
        <x:v>0</x:v>
      </x:c>
      <x:c r="E41" s="22" t="n">
        <x:f>SUMIFS('Work Days'!$J:$J,'Work Days'!$B:$B,A41)</x:f>
        <x:v>0</x:v>
      </x:c>
      <x:c r="F41" s="22" t="n">
        <x:f>SUMIFS('Work Days'!$L:$L,'Work Days'!$B:$B,A41)</x:f>
        <x:v>0</x:v>
      </x:c>
      <x:c r="G41" s="20" t="n">
        <x:f>SUMIFS('Work Days'!$M:$M,'Work Days'!$B:$B,A41)</x:f>
        <x:v>0</x:v>
      </x:c>
      <x:c r="H41" s="20" t="n">
        <x:f>SUMIFS('Work Days'!$N:$N,'Work Days'!$B:$B,A41)</x:f>
        <x:v>0</x:v>
      </x:c>
      <x:c r="I41" s="20" t="n">
        <x:f>SUMIFS('Work Days'!$R:$R,'Work Days'!$B:$B,A41)</x:f>
        <x:v>0</x:v>
      </x:c>
      <x:c r="J41" s="22" t="n">
        <x:f>SUMIFS('Work Days'!$P:$P,'Work Days'!$B:$B,A41)</x:f>
        <x:v>0</x:v>
      </x:c>
      <x:c r="K41" s="20" t="n">
        <x:f>SUMIFS('Work Days'!$T:$T,'Work Days'!$B:$B,A41)</x:f>
        <x:v>0</x:v>
      </x:c>
    </x:row>
    <x:row r="42">
      <x:c r="A42" s="26" t="n">
        <x:f>A41+7</x:f>
        <x:v>46465</x:v>
      </x:c>
      <x:c r="B42" s="26" t="n">
        <x:f>A42+6</x:f>
        <x:v>46471</x:v>
      </x:c>
      <x:c r="C42" s="26" t="n">
        <x:f>A42+7</x:f>
        <x:v>46472</x:v>
      </x:c>
      <x:c r="D42" t="n">
        <x:f>COUNTIFS('Work Days'!$B:$B,A42)</x:f>
        <x:v>0</x:v>
      </x:c>
      <x:c r="E42" s="22" t="n">
        <x:f>SUMIFS('Work Days'!$J:$J,'Work Days'!$B:$B,A42)</x:f>
        <x:v>0</x:v>
      </x:c>
      <x:c r="F42" s="22" t="n">
        <x:f>SUMIFS('Work Days'!$L:$L,'Work Days'!$B:$B,A42)</x:f>
        <x:v>0</x:v>
      </x:c>
      <x:c r="G42" s="20" t="n">
        <x:f>SUMIFS('Work Days'!$M:$M,'Work Days'!$B:$B,A42)</x:f>
        <x:v>0</x:v>
      </x:c>
      <x:c r="H42" s="20" t="n">
        <x:f>SUMIFS('Work Days'!$N:$N,'Work Days'!$B:$B,A42)</x:f>
        <x:v>0</x:v>
      </x:c>
      <x:c r="I42" s="20" t="n">
        <x:f>SUMIFS('Work Days'!$R:$R,'Work Days'!$B:$B,A42)</x:f>
        <x:v>0</x:v>
      </x:c>
      <x:c r="J42" s="22" t="n">
        <x:f>SUMIFS('Work Days'!$P:$P,'Work Days'!$B:$B,A42)</x:f>
        <x:v>0</x:v>
      </x:c>
      <x:c r="K42" s="20" t="n">
        <x:f>SUMIFS('Work Days'!$T:$T,'Work Days'!$B:$B,A42)</x:f>
        <x:v>0</x:v>
      </x:c>
    </x:row>
    <x:row r="43">
      <x:c r="A43" s="26" t="n">
        <x:f>A42+7</x:f>
        <x:v>46472</x:v>
      </x:c>
      <x:c r="B43" s="26" t="n">
        <x:f>A43+6</x:f>
        <x:v>46478</x:v>
      </x:c>
      <x:c r="C43" s="26" t="n">
        <x:f>A43+7</x:f>
        <x:v>46479</x:v>
      </x:c>
      <x:c r="D43" t="n">
        <x:f>COUNTIFS('Work Days'!$B:$B,A43)</x:f>
        <x:v>0</x:v>
      </x:c>
      <x:c r="E43" s="22" t="n">
        <x:f>SUMIFS('Work Days'!$J:$J,'Work Days'!$B:$B,A43)</x:f>
        <x:v>0</x:v>
      </x:c>
      <x:c r="F43" s="22" t="n">
        <x:f>SUMIFS('Work Days'!$L:$L,'Work Days'!$B:$B,A43)</x:f>
        <x:v>0</x:v>
      </x:c>
      <x:c r="G43" s="20" t="n">
        <x:f>SUMIFS('Work Days'!$M:$M,'Work Days'!$B:$B,A43)</x:f>
        <x:v>0</x:v>
      </x:c>
      <x:c r="H43" s="20" t="n">
        <x:f>SUMIFS('Work Days'!$N:$N,'Work Days'!$B:$B,A43)</x:f>
        <x:v>0</x:v>
      </x:c>
      <x:c r="I43" s="20" t="n">
        <x:f>SUMIFS('Work Days'!$R:$R,'Work Days'!$B:$B,A43)</x:f>
        <x:v>0</x:v>
      </x:c>
      <x:c r="J43" s="22" t="n">
        <x:f>SUMIFS('Work Days'!$P:$P,'Work Days'!$B:$B,A43)</x:f>
        <x:v>0</x:v>
      </x:c>
      <x:c r="K43" s="20" t="n">
        <x:f>SUMIFS('Work Days'!$T:$T,'Work Days'!$B:$B,A43)</x:f>
        <x:v>0</x:v>
      </x:c>
    </x:row>
    <x:row r="44">
      <x:c r="A44" s="26" t="n">
        <x:f>A43+7</x:f>
        <x:v>46479</x:v>
      </x:c>
      <x:c r="B44" s="26" t="n">
        <x:f>A44+6</x:f>
        <x:v>46485</x:v>
      </x:c>
      <x:c r="C44" s="26" t="n">
        <x:f>A44+7</x:f>
        <x:v>46486</x:v>
      </x:c>
      <x:c r="D44" t="n">
        <x:f>COUNTIFS('Work Days'!$B:$B,A44)</x:f>
        <x:v>0</x:v>
      </x:c>
      <x:c r="E44" s="22" t="n">
        <x:f>SUMIFS('Work Days'!$J:$J,'Work Days'!$B:$B,A44)</x:f>
        <x:v>0</x:v>
      </x:c>
      <x:c r="F44" s="22" t="n">
        <x:f>SUMIFS('Work Days'!$L:$L,'Work Days'!$B:$B,A44)</x:f>
        <x:v>0</x:v>
      </x:c>
      <x:c r="G44" s="20" t="n">
        <x:f>SUMIFS('Work Days'!$M:$M,'Work Days'!$B:$B,A44)</x:f>
        <x:v>0</x:v>
      </x:c>
      <x:c r="H44" s="20" t="n">
        <x:f>SUMIFS('Work Days'!$N:$N,'Work Days'!$B:$B,A44)</x:f>
        <x:v>0</x:v>
      </x:c>
      <x:c r="I44" s="20" t="n">
        <x:f>SUMIFS('Work Days'!$R:$R,'Work Days'!$B:$B,A44)</x:f>
        <x:v>0</x:v>
      </x:c>
      <x:c r="J44" s="22" t="n">
        <x:f>SUMIFS('Work Days'!$P:$P,'Work Days'!$B:$B,A44)</x:f>
        <x:v>0</x:v>
      </x:c>
      <x:c r="K44" s="20" t="n">
        <x:f>SUMIFS('Work Days'!$T:$T,'Work Days'!$B:$B,A44)</x:f>
        <x:v>0</x:v>
      </x:c>
    </x:row>
    <x:row r="45">
      <x:c r="A45" s="26" t="n">
        <x:f>A44+7</x:f>
        <x:v>46486</x:v>
      </x:c>
      <x:c r="B45" s="26" t="n">
        <x:f>A45+6</x:f>
        <x:v>46492</x:v>
      </x:c>
      <x:c r="C45" s="26" t="n">
        <x:f>A45+7</x:f>
        <x:v>46493</x:v>
      </x:c>
      <x:c r="D45" t="n">
        <x:f>COUNTIFS('Work Days'!$B:$B,A45)</x:f>
        <x:v>0</x:v>
      </x:c>
      <x:c r="E45" s="22" t="n">
        <x:f>SUMIFS('Work Days'!$J:$J,'Work Days'!$B:$B,A45)</x:f>
        <x:v>0</x:v>
      </x:c>
      <x:c r="F45" s="22" t="n">
        <x:f>SUMIFS('Work Days'!$L:$L,'Work Days'!$B:$B,A45)</x:f>
        <x:v>0</x:v>
      </x:c>
      <x:c r="G45" s="20" t="n">
        <x:f>SUMIFS('Work Days'!$M:$M,'Work Days'!$B:$B,A45)</x:f>
        <x:v>0</x:v>
      </x:c>
      <x:c r="H45" s="20" t="n">
        <x:f>SUMIFS('Work Days'!$N:$N,'Work Days'!$B:$B,A45)</x:f>
        <x:v>0</x:v>
      </x:c>
      <x:c r="I45" s="20" t="n">
        <x:f>SUMIFS('Work Days'!$R:$R,'Work Days'!$B:$B,A45)</x:f>
        <x:v>0</x:v>
      </x:c>
      <x:c r="J45" s="22" t="n">
        <x:f>SUMIFS('Work Days'!$P:$P,'Work Days'!$B:$B,A45)</x:f>
        <x:v>0</x:v>
      </x:c>
      <x:c r="K45" s="20" t="n">
        <x:f>SUMIFS('Work Days'!$T:$T,'Work Days'!$B:$B,A45)</x:f>
        <x:v>0</x:v>
      </x:c>
    </x:row>
    <x:row r="46">
      <x:c r="A46" s="26" t="n">
        <x:f>A45+7</x:f>
        <x:v>46493</x:v>
      </x:c>
      <x:c r="B46" s="26" t="n">
        <x:f>A46+6</x:f>
        <x:v>46499</x:v>
      </x:c>
      <x:c r="C46" s="26" t="n">
        <x:f>A46+7</x:f>
        <x:v>46500</x:v>
      </x:c>
      <x:c r="D46" t="n">
        <x:f>COUNTIFS('Work Days'!$B:$B,A46)</x:f>
        <x:v>0</x:v>
      </x:c>
      <x:c r="E46" s="22" t="n">
        <x:f>SUMIFS('Work Days'!$J:$J,'Work Days'!$B:$B,A46)</x:f>
        <x:v>0</x:v>
      </x:c>
      <x:c r="F46" s="22" t="n">
        <x:f>SUMIFS('Work Days'!$L:$L,'Work Days'!$B:$B,A46)</x:f>
        <x:v>0</x:v>
      </x:c>
      <x:c r="G46" s="20" t="n">
        <x:f>SUMIFS('Work Days'!$M:$M,'Work Days'!$B:$B,A46)</x:f>
        <x:v>0</x:v>
      </x:c>
      <x:c r="H46" s="20" t="n">
        <x:f>SUMIFS('Work Days'!$N:$N,'Work Days'!$B:$B,A46)</x:f>
        <x:v>0</x:v>
      </x:c>
      <x:c r="I46" s="20" t="n">
        <x:f>SUMIFS('Work Days'!$R:$R,'Work Days'!$B:$B,A46)</x:f>
        <x:v>0</x:v>
      </x:c>
      <x:c r="J46" s="22" t="n">
        <x:f>SUMIFS('Work Days'!$P:$P,'Work Days'!$B:$B,A46)</x:f>
        <x:v>0</x:v>
      </x:c>
      <x:c r="K46" s="20" t="n">
        <x:f>SUMIFS('Work Days'!$T:$T,'Work Days'!$B:$B,A46)</x:f>
        <x:v>0</x:v>
      </x:c>
    </x:row>
    <x:row r="47">
      <x:c r="A47" s="26" t="n">
        <x:f>A46+7</x:f>
        <x:v>46500</x:v>
      </x:c>
      <x:c r="B47" s="26" t="n">
        <x:f>A47+6</x:f>
        <x:v>46506</x:v>
      </x:c>
      <x:c r="C47" s="26" t="n">
        <x:f>A47+7</x:f>
        <x:v>46507</x:v>
      </x:c>
      <x:c r="D47" t="n">
        <x:f>COUNTIFS('Work Days'!$B:$B,A47)</x:f>
        <x:v>0</x:v>
      </x:c>
      <x:c r="E47" s="22" t="n">
        <x:f>SUMIFS('Work Days'!$J:$J,'Work Days'!$B:$B,A47)</x:f>
        <x:v>0</x:v>
      </x:c>
      <x:c r="F47" s="22" t="n">
        <x:f>SUMIFS('Work Days'!$L:$L,'Work Days'!$B:$B,A47)</x:f>
        <x:v>0</x:v>
      </x:c>
      <x:c r="G47" s="20" t="n">
        <x:f>SUMIFS('Work Days'!$M:$M,'Work Days'!$B:$B,A47)</x:f>
        <x:v>0</x:v>
      </x:c>
      <x:c r="H47" s="20" t="n">
        <x:f>SUMIFS('Work Days'!$N:$N,'Work Days'!$B:$B,A47)</x:f>
        <x:v>0</x:v>
      </x:c>
      <x:c r="I47" s="20" t="n">
        <x:f>SUMIFS('Work Days'!$R:$R,'Work Days'!$B:$B,A47)</x:f>
        <x:v>0</x:v>
      </x:c>
      <x:c r="J47" s="22" t="n">
        <x:f>SUMIFS('Work Days'!$P:$P,'Work Days'!$B:$B,A47)</x:f>
        <x:v>0</x:v>
      </x:c>
      <x:c r="K47" s="20" t="n">
        <x:f>SUMIFS('Work Days'!$T:$T,'Work Days'!$B:$B,A47)</x:f>
        <x:v>0</x:v>
      </x:c>
    </x:row>
    <x:row r="48">
      <x:c r="A48" s="26" t="n">
        <x:f>A47+7</x:f>
        <x:v>46507</x:v>
      </x:c>
      <x:c r="B48" s="26" t="n">
        <x:f>A48+6</x:f>
        <x:v>46513</x:v>
      </x:c>
      <x:c r="C48" s="26" t="n">
        <x:f>A48+7</x:f>
        <x:v>46514</x:v>
      </x:c>
      <x:c r="D48" t="n">
        <x:f>COUNTIFS('Work Days'!$B:$B,A48)</x:f>
        <x:v>0</x:v>
      </x:c>
      <x:c r="E48" s="22" t="n">
        <x:f>SUMIFS('Work Days'!$J:$J,'Work Days'!$B:$B,A48)</x:f>
        <x:v>0</x:v>
      </x:c>
      <x:c r="F48" s="22" t="n">
        <x:f>SUMIFS('Work Days'!$L:$L,'Work Days'!$B:$B,A48)</x:f>
        <x:v>0</x:v>
      </x:c>
      <x:c r="G48" s="20" t="n">
        <x:f>SUMIFS('Work Days'!$M:$M,'Work Days'!$B:$B,A48)</x:f>
        <x:v>0</x:v>
      </x:c>
      <x:c r="H48" s="20" t="n">
        <x:f>SUMIFS('Work Days'!$N:$N,'Work Days'!$B:$B,A48)</x:f>
        <x:v>0</x:v>
      </x:c>
      <x:c r="I48" s="20" t="n">
        <x:f>SUMIFS('Work Days'!$R:$R,'Work Days'!$B:$B,A48)</x:f>
        <x:v>0</x:v>
      </x:c>
      <x:c r="J48" s="22" t="n">
        <x:f>SUMIFS('Work Days'!$P:$P,'Work Days'!$B:$B,A48)</x:f>
        <x:v>0</x:v>
      </x:c>
      <x:c r="K48" s="20" t="n">
        <x:f>SUMIFS('Work Days'!$T:$T,'Work Days'!$B:$B,A48)</x:f>
        <x:v>0</x:v>
      </x:c>
    </x:row>
    <x:row r="49">
      <x:c r="A49" s="26" t="n">
        <x:f>A48+7</x:f>
        <x:v>46514</x:v>
      </x:c>
      <x:c r="B49" s="26" t="n">
        <x:f>A49+6</x:f>
        <x:v>46520</x:v>
      </x:c>
      <x:c r="C49" s="26" t="n">
        <x:f>A49+7</x:f>
        <x:v>46521</x:v>
      </x:c>
      <x:c r="D49" t="n">
        <x:f>COUNTIFS('Work Days'!$B:$B,A49)</x:f>
        <x:v>0</x:v>
      </x:c>
      <x:c r="E49" s="22" t="n">
        <x:f>SUMIFS('Work Days'!$J:$J,'Work Days'!$B:$B,A49)</x:f>
        <x:v>0</x:v>
      </x:c>
      <x:c r="F49" s="22" t="n">
        <x:f>SUMIFS('Work Days'!$L:$L,'Work Days'!$B:$B,A49)</x:f>
        <x:v>0</x:v>
      </x:c>
      <x:c r="G49" s="20" t="n">
        <x:f>SUMIFS('Work Days'!$M:$M,'Work Days'!$B:$B,A49)</x:f>
        <x:v>0</x:v>
      </x:c>
      <x:c r="H49" s="20" t="n">
        <x:f>SUMIFS('Work Days'!$N:$N,'Work Days'!$B:$B,A49)</x:f>
        <x:v>0</x:v>
      </x:c>
      <x:c r="I49" s="20" t="n">
        <x:f>SUMIFS('Work Days'!$R:$R,'Work Days'!$B:$B,A49)</x:f>
        <x:v>0</x:v>
      </x:c>
      <x:c r="J49" s="22" t="n">
        <x:f>SUMIFS('Work Days'!$P:$P,'Work Days'!$B:$B,A49)</x:f>
        <x:v>0</x:v>
      </x:c>
      <x:c r="K49" s="20" t="n">
        <x:f>SUMIFS('Work Days'!$T:$T,'Work Days'!$B:$B,A49)</x:f>
        <x:v>0</x:v>
      </x:c>
    </x:row>
    <x:row r="50">
      <x:c r="A50" s="26" t="n">
        <x:f>A49+7</x:f>
        <x:v>46521</x:v>
      </x:c>
      <x:c r="B50" s="26" t="n">
        <x:f>A50+6</x:f>
        <x:v>46527</x:v>
      </x:c>
      <x:c r="C50" s="26" t="n">
        <x:f>A50+7</x:f>
        <x:v>46528</x:v>
      </x:c>
      <x:c r="D50" t="n">
        <x:f>COUNTIFS('Work Days'!$B:$B,A50)</x:f>
        <x:v>0</x:v>
      </x:c>
      <x:c r="E50" s="22" t="n">
        <x:f>SUMIFS('Work Days'!$J:$J,'Work Days'!$B:$B,A50)</x:f>
        <x:v>0</x:v>
      </x:c>
      <x:c r="F50" s="22" t="n">
        <x:f>SUMIFS('Work Days'!$L:$L,'Work Days'!$B:$B,A50)</x:f>
        <x:v>0</x:v>
      </x:c>
      <x:c r="G50" s="20" t="n">
        <x:f>SUMIFS('Work Days'!$M:$M,'Work Days'!$B:$B,A50)</x:f>
        <x:v>0</x:v>
      </x:c>
      <x:c r="H50" s="20" t="n">
        <x:f>SUMIFS('Work Days'!$N:$N,'Work Days'!$B:$B,A50)</x:f>
        <x:v>0</x:v>
      </x:c>
      <x:c r="I50" s="20" t="n">
        <x:f>SUMIFS('Work Days'!$R:$R,'Work Days'!$B:$B,A50)</x:f>
        <x:v>0</x:v>
      </x:c>
      <x:c r="J50" s="22" t="n">
        <x:f>SUMIFS('Work Days'!$P:$P,'Work Days'!$B:$B,A50)</x:f>
        <x:v>0</x:v>
      </x:c>
      <x:c r="K50" s="20" t="n">
        <x:f>SUMIFS('Work Days'!$T:$T,'Work Days'!$B:$B,A50)</x:f>
        <x:v>0</x:v>
      </x:c>
    </x:row>
    <x:row r="51">
      <x:c r="A51" s="26" t="n">
        <x:f>A50+7</x:f>
        <x:v>46528</x:v>
      </x:c>
      <x:c r="B51" s="26" t="n">
        <x:f>A51+6</x:f>
        <x:v>46534</x:v>
      </x:c>
      <x:c r="C51" s="26" t="n">
        <x:f>A51+7</x:f>
        <x:v>46535</x:v>
      </x:c>
      <x:c r="D51" t="n">
        <x:f>COUNTIFS('Work Days'!$B:$B,A51)</x:f>
        <x:v>0</x:v>
      </x:c>
      <x:c r="E51" s="22" t="n">
        <x:f>SUMIFS('Work Days'!$J:$J,'Work Days'!$B:$B,A51)</x:f>
        <x:v>0</x:v>
      </x:c>
      <x:c r="F51" s="22" t="n">
        <x:f>SUMIFS('Work Days'!$L:$L,'Work Days'!$B:$B,A51)</x:f>
        <x:v>0</x:v>
      </x:c>
      <x:c r="G51" s="20" t="n">
        <x:f>SUMIFS('Work Days'!$M:$M,'Work Days'!$B:$B,A51)</x:f>
        <x:v>0</x:v>
      </x:c>
      <x:c r="H51" s="20" t="n">
        <x:f>SUMIFS('Work Days'!$N:$N,'Work Days'!$B:$B,A51)</x:f>
        <x:v>0</x:v>
      </x:c>
      <x:c r="I51" s="20" t="n">
        <x:f>SUMIFS('Work Days'!$R:$R,'Work Days'!$B:$B,A51)</x:f>
        <x:v>0</x:v>
      </x:c>
      <x:c r="J51" s="22" t="n">
        <x:f>SUMIFS('Work Days'!$P:$P,'Work Days'!$B:$B,A51)</x:f>
        <x:v>0</x:v>
      </x:c>
      <x:c r="K51" s="20" t="n">
        <x:f>SUMIFS('Work Days'!$T:$T,'Work Days'!$B:$B,A51)</x:f>
        <x:v>0</x:v>
      </x:c>
    </x:row>
    <x:row r="52">
      <x:c r="A52" s="26" t="n">
        <x:f>A51+7</x:f>
        <x:v>46535</x:v>
      </x:c>
      <x:c r="B52" s="26" t="n">
        <x:f>A52+6</x:f>
        <x:v>46541</x:v>
      </x:c>
      <x:c r="C52" s="26" t="n">
        <x:f>A52+7</x:f>
        <x:v>46542</x:v>
      </x:c>
      <x:c r="D52" t="n">
        <x:f>COUNTIFS('Work Days'!$B:$B,A52)</x:f>
        <x:v>0</x:v>
      </x:c>
      <x:c r="E52" s="22" t="n">
        <x:f>SUMIFS('Work Days'!$J:$J,'Work Days'!$B:$B,A52)</x:f>
        <x:v>0</x:v>
      </x:c>
      <x:c r="F52" s="22" t="n">
        <x:f>SUMIFS('Work Days'!$L:$L,'Work Days'!$B:$B,A52)</x:f>
        <x:v>0</x:v>
      </x:c>
      <x:c r="G52" s="20" t="n">
        <x:f>SUMIFS('Work Days'!$M:$M,'Work Days'!$B:$B,A52)</x:f>
        <x:v>0</x:v>
      </x:c>
      <x:c r="H52" s="20" t="n">
        <x:f>SUMIFS('Work Days'!$N:$N,'Work Days'!$B:$B,A52)</x:f>
        <x:v>0</x:v>
      </x:c>
      <x:c r="I52" s="20" t="n">
        <x:f>SUMIFS('Work Days'!$R:$R,'Work Days'!$B:$B,A52)</x:f>
        <x:v>0</x:v>
      </x:c>
      <x:c r="J52" s="22" t="n">
        <x:f>SUMIFS('Work Days'!$P:$P,'Work Days'!$B:$B,A52)</x:f>
        <x:v>0</x:v>
      </x:c>
      <x:c r="K52" s="20" t="n">
        <x:f>SUMIFS('Work Days'!$T:$T,'Work Days'!$B:$B,A52)</x:f>
        <x:v>0</x:v>
      </x:c>
    </x:row>
    <x:row r="53">
      <x:c r="A53" s="26" t="n">
        <x:f>A52+7</x:f>
        <x:v>46542</x:v>
      </x:c>
      <x:c r="B53" s="26" t="n">
        <x:f>A53+6</x:f>
        <x:v>46548</x:v>
      </x:c>
      <x:c r="C53" s="26" t="n">
        <x:f>A53+7</x:f>
        <x:v>46549</x:v>
      </x:c>
      <x:c r="D53" t="n">
        <x:f>COUNTIFS('Work Days'!$B:$B,A53)</x:f>
        <x:v>0</x:v>
      </x:c>
      <x:c r="E53" s="22" t="n">
        <x:f>SUMIFS('Work Days'!$J:$J,'Work Days'!$B:$B,A53)</x:f>
        <x:v>0</x:v>
      </x:c>
      <x:c r="F53" s="22" t="n">
        <x:f>SUMIFS('Work Days'!$L:$L,'Work Days'!$B:$B,A53)</x:f>
        <x:v>0</x:v>
      </x:c>
      <x:c r="G53" s="20" t="n">
        <x:f>SUMIFS('Work Days'!$M:$M,'Work Days'!$B:$B,A53)</x:f>
        <x:v>0</x:v>
      </x:c>
      <x:c r="H53" s="20" t="n">
        <x:f>SUMIFS('Work Days'!$N:$N,'Work Days'!$B:$B,A53)</x:f>
        <x:v>0</x:v>
      </x:c>
      <x:c r="I53" s="20" t="n">
        <x:f>SUMIFS('Work Days'!$R:$R,'Work Days'!$B:$B,A53)</x:f>
        <x:v>0</x:v>
      </x:c>
      <x:c r="J53" s="22" t="n">
        <x:f>SUMIFS('Work Days'!$P:$P,'Work Days'!$B:$B,A53)</x:f>
        <x:v>0</x:v>
      </x:c>
      <x:c r="K53" s="20" t="n">
        <x:f>SUMIFS('Work Days'!$T:$T,'Work Days'!$B:$B,A53)</x:f>
        <x:v>0</x:v>
      </x:c>
    </x:row>
    <x:row r="54">
      <x:c r="A54" s="26" t="n">
        <x:f>A53+7</x:f>
        <x:v>46549</x:v>
      </x:c>
      <x:c r="B54" s="26" t="n">
        <x:f>A54+6</x:f>
        <x:v>46555</x:v>
      </x:c>
      <x:c r="C54" s="26" t="n">
        <x:f>A54+7</x:f>
        <x:v>46556</x:v>
      </x:c>
      <x:c r="D54" t="n">
        <x:f>COUNTIFS('Work Days'!$B:$B,A54)</x:f>
        <x:v>0</x:v>
      </x:c>
      <x:c r="E54" s="22" t="n">
        <x:f>SUMIFS('Work Days'!$J:$J,'Work Days'!$B:$B,A54)</x:f>
        <x:v>0</x:v>
      </x:c>
      <x:c r="F54" s="22" t="n">
        <x:f>SUMIFS('Work Days'!$L:$L,'Work Days'!$B:$B,A54)</x:f>
        <x:v>0</x:v>
      </x:c>
      <x:c r="G54" s="20" t="n">
        <x:f>SUMIFS('Work Days'!$M:$M,'Work Days'!$B:$B,A54)</x:f>
        <x:v>0</x:v>
      </x:c>
      <x:c r="H54" s="20" t="n">
        <x:f>SUMIFS('Work Days'!$N:$N,'Work Days'!$B:$B,A54)</x:f>
        <x:v>0</x:v>
      </x:c>
      <x:c r="I54" s="20" t="n">
        <x:f>SUMIFS('Work Days'!$R:$R,'Work Days'!$B:$B,A54)</x:f>
        <x:v>0</x:v>
      </x:c>
      <x:c r="J54" s="22" t="n">
        <x:f>SUMIFS('Work Days'!$P:$P,'Work Days'!$B:$B,A54)</x:f>
        <x:v>0</x:v>
      </x:c>
      <x:c r="K54" s="20" t="n">
        <x:f>SUMIFS('Work Days'!$T:$T,'Work Days'!$B:$B,A54)</x:f>
        <x:v>0</x:v>
      </x:c>
    </x:row>
    <x:row r="55">
      <x:c r="A55" s="26" t="n">
        <x:f>A54+7</x:f>
        <x:v>46556</x:v>
      </x:c>
      <x:c r="B55" s="26" t="n">
        <x:f>A55+6</x:f>
        <x:v>46562</x:v>
      </x:c>
      <x:c r="C55" s="26" t="n">
        <x:f>A55+7</x:f>
        <x:v>46563</x:v>
      </x:c>
      <x:c r="D55" t="n">
        <x:f>COUNTIFS('Work Days'!$B:$B,A55)</x:f>
        <x:v>0</x:v>
      </x:c>
      <x:c r="E55" s="22" t="n">
        <x:f>SUMIFS('Work Days'!$J:$J,'Work Days'!$B:$B,A55)</x:f>
        <x:v>0</x:v>
      </x:c>
      <x:c r="F55" s="22" t="n">
        <x:f>SUMIFS('Work Days'!$L:$L,'Work Days'!$B:$B,A55)</x:f>
        <x:v>0</x:v>
      </x:c>
      <x:c r="G55" s="20" t="n">
        <x:f>SUMIFS('Work Days'!$M:$M,'Work Days'!$B:$B,A55)</x:f>
        <x:v>0</x:v>
      </x:c>
      <x:c r="H55" s="20" t="n">
        <x:f>SUMIFS('Work Days'!$N:$N,'Work Days'!$B:$B,A55)</x:f>
        <x:v>0</x:v>
      </x:c>
      <x:c r="I55" s="20" t="n">
        <x:f>SUMIFS('Work Days'!$R:$R,'Work Days'!$B:$B,A55)</x:f>
        <x:v>0</x:v>
      </x:c>
      <x:c r="J55" s="22" t="n">
        <x:f>SUMIFS('Work Days'!$P:$P,'Work Days'!$B:$B,A55)</x:f>
        <x:v>0</x:v>
      </x:c>
      <x:c r="K55" s="20" t="n">
        <x:f>SUMIFS('Work Days'!$T:$T,'Work Days'!$B:$B,A55)</x:f>
        <x:v>0</x:v>
      </x:c>
    </x:row>
  </x:sheetData>
  <x:mergeCells>
    <x:mergeCell ref="A1:K1"/>
    <x:mergeCell ref="G1:H1"/>
  </x:mergeCells>
  <x:pageMargins left="0.7" right="0.7" top="0.75" bottom="0.75" header="0.3" footer="0.3"/>
  <x:tableParts count="1">
    <x:tablePart xmlns:r="http://schemas.openxmlformats.org/officeDocument/2006/relationships" r:id="R26719eabaf1b41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.130001068115234" hidden="0" customWidth="1"/>
    <x:col min="2" max="2" width="9.380000114440918" hidden="0" customWidth="1"/>
  </x:cols>
  <x:sheetData>
    <x:row r="1">
      <x:c r="A1" s="5" t="str">
        <x:v>🔎 Day Detail — выбери дату</x:v>
      </x:c>
      <x:c r="G1" s="38" t="str">
        <x:v>Created by Azizbay</x:v>
      </x:c>
    </x:row>
    <x:row r="3">
      <x:c r="A3" t="str">
        <x:v>Выбранная дата</x:v>
      </x:c>
      <x:c r="B3" s="26" t="n">
        <x:v>46199</x:v>
      </x:c>
    </x:row>
    <x:row r="5">
      <x:c r="A5" s="29" t="str">
        <x:v>Начало</x:v>
      </x:c>
      <x:c r="B5" s="24" t="n">
        <x:f>IFERROR(INDEX('Work Days'!$E:$E,MATCH($B$3,'Work Days'!$A:$A,0)),"")</x:f>
        <x:v>0.20833333333333334</x:v>
      </x:c>
    </x:row>
    <x:row r="6">
      <x:c r="A6" s="29" t="str">
        <x:v>Конец</x:v>
      </x:c>
      <x:c r="B6" s="24" t="n">
        <x:f>IFERROR(INDEX('Work Days'!$F:$F,MATCH($B$3,'Work Days'!$A:$A,0)),"")</x:f>
        <x:v>0.7083333333333334</x:v>
      </x:c>
    </x:row>
    <x:row r="7">
      <x:c r="A7" s="29" t="str">
        <x:v>Break мин</x:v>
      </x:c>
      <x:c r="B7" s="32" t="n">
        <x:f>IFERROR(INDEX('Work Days'!$G:$G,MATCH($B$3,'Work Days'!$A:$A,0)),"")</x:f>
        <x:v>15</x:v>
      </x:c>
    </x:row>
    <x:row r="8">
      <x:c r="A8" s="29" t="str">
        <x:v>Lunch мин</x:v>
      </x:c>
      <x:c r="B8" s="32" t="n">
        <x:f>IFERROR(INDEX('Work Days'!$H:$H,MATCH($B$3,'Work Days'!$A:$A,0)),"")</x:f>
        <x:v>30</x:v>
      </x:c>
    </x:row>
    <x:row r="9">
      <x:c r="A9" s="29" t="str">
        <x:v>Перерыв всего</x:v>
      </x:c>
      <x:c r="B9" s="32" t="n">
        <x:f>IFERROR(INDEX('Work Days'!$I:$I,MATCH($B$3,'Work Days'!$A:$A,0)),"")</x:f>
        <x:v>45</x:v>
      </x:c>
    </x:row>
    <x:row r="10">
      <x:c r="A10" s="29" t="str">
        <x:v>Рабочие часы</x:v>
      </x:c>
      <x:c r="B10" s="22" t="n">
        <x:f>IFERROR(INDEX('Work Days'!$J:$J,MATCH($B$3,'Work Days'!$A:$A,0)),"")</x:f>
        <x:v>11.25</x:v>
      </x:c>
    </x:row>
    <x:row r="11">
      <x:c r="A11" s="29" t="str">
        <x:v>Обычные часы</x:v>
      </x:c>
      <x:c r="B11" s="22" t="n">
        <x:f>IFERROR(INDEX('Work Days'!$K:$K,MATCH($B$3,'Work Days'!$A:$A,0)),"")</x:f>
        <x:v>8</x:v>
      </x:c>
    </x:row>
    <x:row r="12">
      <x:c r="A12" s="29" t="str">
        <x:v>Овертайм часы</x:v>
      </x:c>
      <x:c r="B12" s="22" t="n">
        <x:f>IFERROR(INDEX('Work Days'!$L:$L,MATCH($B$3,'Work Days'!$A:$A,0)),"")</x:f>
        <x:v>3.25</x:v>
      </x:c>
    </x:row>
    <x:row r="13">
      <x:c r="A13" s="29" t="str">
        <x:v>Обычная зарплата</x:v>
      </x:c>
      <x:c r="B13" s="20" t="n">
        <x:f>IFERROR(INDEX('Work Days'!$M:$M,MATCH($B$3,'Work Days'!$A:$A,0)),"")</x:f>
        <x:v>101.68</x:v>
      </x:c>
    </x:row>
    <x:row r="14">
      <x:c r="A14" s="29" t="str">
        <x:v>Заработок овертайма</x:v>
      </x:c>
      <x:c r="B14" s="20" t="n">
        <x:f>IFERROR(INDEX('Work Days'!$N:$N,MATCH($B$3,'Work Days'!$A:$A,0)),"")</x:f>
        <x:v>61.9775</x:v>
      </x:c>
    </x:row>
    <x:row r="15">
      <x:c r="A15" s="29" t="str">
        <x:v>Стандарт кг</x:v>
      </x:c>
      <x:c r="B15" s="22" t="n">
        <x:f>IFERROR(INDEX('Work Days'!$O:$O,MATCH($B$3,'Work Days'!$A:$A,0)),"")</x:f>
        <x:v>89</x:v>
      </x:c>
    </x:row>
    <x:row r="16">
      <x:c r="A16" s="29" t="str">
        <x:v>Рабиш кг</x:v>
      </x:c>
      <x:c r="B16" s="22" t="n">
        <x:f>IFERROR(INDEX('Work Days'!$P:$P,MATCH($B$3,'Work Days'!$A:$A,0)),"")</x:f>
        <x:v>0</x:v>
      </x:c>
    </x:row>
    <x:row r="17">
      <x:c r="A17" s="29" t="str">
        <x:v>Бонус кг</x:v>
      </x:c>
      <x:c r="B17" s="22" t="n">
        <x:f>IFERROR(INDEX('Work Days'!$Q:$Q,MATCH($B$3,'Work Days'!$A:$A,0)),"")</x:f>
        <x:v>41</x:v>
      </x:c>
    </x:row>
    <x:row r="18">
      <x:c r="A18" s="29" t="str">
        <x:v>Бонус £</x:v>
      </x:c>
      <x:c r="B18" s="20" t="n">
        <x:f>IFERROR(INDEX('Work Days'!$R:$R,MATCH($B$3,'Work Days'!$A:$A,0)),"")</x:f>
        <x:v>30.75</x:v>
      </x:c>
    </x:row>
    <x:row r="19">
      <x:c r="A19" s="29" t="str">
        <x:v>Зарплата без бонуса</x:v>
      </x:c>
      <x:c r="B19" s="20" t="n">
        <x:f>IFERROR(INDEX('Work Days'!$S:$S,MATCH($B$3,'Work Days'!$A:$A,0)),"")</x:f>
        <x:v>163.6575</x:v>
      </x:c>
    </x:row>
    <x:row r="20">
      <x:c r="A20" s="29" t="str">
        <x:v>Итого с бонусом</x:v>
      </x:c>
      <x:c r="B20" s="20" t="n">
        <x:f>IFERROR(INDEX('Work Days'!$T:$T,MATCH($B$3,'Work Days'!$A:$A,0)),"")</x:f>
        <x:v>194.4075</x:v>
      </x:c>
    </x:row>
    <x:row r="21">
      <x:c r="A21" s="29" t="str">
        <x:v>Заметки</x:v>
      </x:c>
      <x:c r="B21" s="34" t="str">
        <x:f>IFERROR(INDEX('Work Days'!$U:$U,MATCH($B$3,'Work Days'!$A:$A,0)),"")</x:f>
        <x:v>Пример</x:v>
      </x:c>
    </x:row>
  </x:sheetData>
  <x:mergeCells>
    <x:mergeCell ref="A1:D1"/>
    <x:mergeCell ref="G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.380001068115234" hidden="0" customWidth="1"/>
    <x:col min="2" max="2" width="9.380000114440918" hidden="0" customWidth="1"/>
    <x:col min="4" max="4" width="43.75" hidden="0" customWidth="1"/>
  </x:cols>
  <x:sheetData>
    <x:row r="1">
      <x:c r="A1" s="5" t="str">
        <x:v>💷 Payout — к выплате в пятницу</x:v>
      </x:c>
      <x:c r="G1" s="38" t="str">
        <x:v>Created by Azizbay</x:v>
      </x:c>
    </x:row>
    <x:row r="3">
      <x:c r="A3" t="str">
        <x:v>Выбранная неделя старт</x:v>
      </x:c>
      <x:c r="B3" s="26" t="n">
        <x:f>MAX('Work Days'!B:B)</x:f>
        <x:v>46199</x:v>
      </x:c>
      <x:c r="D3" s="14" t="str">
        <x:v>Важно</x:v>
      </x:c>
      <x:c r="E3" s="14" t="str"/>
    </x:row>
    <x:row r="4">
      <x:c r="A4" t="str">
        <x:v>Дата выплаты</x:v>
      </x:c>
      <x:c r="B4" s="26" t="n">
        <x:f>B3+7</x:f>
        <x:v>46206</x:v>
      </x:c>
      <x:c r="D4" t="str">
        <x:v>Овертайм показан отдельно, как отдельный заработок.</x:v>
      </x:c>
      <x:c r="E4" t="str"/>
    </x:row>
    <x:row r="5">
      <x:c r="D5" t="str">
        <x:v>Бонус показан отдельно.</x:v>
      </x:c>
      <x:c r="E5" t="str"/>
    </x:row>
    <x:row r="6">
      <x:c r="A6" s="29" t="str">
        <x:v>Обычная зарплата</x:v>
      </x:c>
      <x:c r="B6" s="20" t="n">
        <x:f>SUMIFS('Work Days'!M:M,'Work Days'!B:B,$B$3)</x:f>
        <x:v>101.68</x:v>
      </x:c>
      <x:c r="D6" t="str">
        <x:v>Рабиш кг не участвует в бонусе.</x:v>
      </x:c>
      <x:c r="E6" t="str"/>
    </x:row>
    <x:row r="7">
      <x:c r="A7" s="29" t="str">
        <x:v>Заработок овертайма</x:v>
      </x:c>
      <x:c r="B7" s="20" t="n">
        <x:f>SUMIFS('Work Days'!N:N,'Work Days'!B:B,$B$3)</x:f>
        <x:v>61.9775</x:v>
      </x:c>
      <x:c r="D7" t="str">
        <x:v>Итого = обычная зарплата + овертайм + бонус.</x:v>
      </x:c>
      <x:c r="E7" t="str"/>
    </x:row>
    <x:row r="8">
      <x:c r="A8" s="29" t="str">
        <x:v>Бонус за стандарт</x:v>
      </x:c>
      <x:c r="B8" s="20" t="n">
        <x:f>SUMIFS('Work Days'!R:R,'Work Days'!B:B,$B$3)</x:f>
        <x:v>30.75</x:v>
      </x:c>
    </x:row>
    <x:row r="9">
      <x:c r="A9" s="29" t="str">
        <x:v>Зарплата без бонуса</x:v>
      </x:c>
      <x:c r="B9" s="20" t="n">
        <x:f>SUMIFS('Work Days'!S:S,'Work Days'!B:B,$B$3)</x:f>
        <x:v>163.6575</x:v>
      </x:c>
      <x:c r="D9" s="14" t="str">
        <x:v>Разбивка дохода</x:v>
      </x:c>
      <x:c r="E9" s="14" t="str">
        <x:v>Сумма</x:v>
      </x:c>
    </x:row>
    <x:row r="10">
      <x:c r="A10" s="29" t="str">
        <x:v>Итого к выплате</x:v>
      </x:c>
      <x:c r="B10" s="20" t="n">
        <x:f>SUMIFS('Work Days'!T:T,'Work Days'!B:B,$B$3)</x:f>
        <x:v>194.4075</x:v>
      </x:c>
      <x:c r="D10" t="str">
        <x:v>Обычная зарплата</x:v>
      </x:c>
      <x:c r="E10" s="20" t="n">
        <x:f>B6</x:f>
        <x:v>101.68</x:v>
      </x:c>
    </x:row>
    <x:row r="11">
      <x:c r="A11" s="29" t="str">
        <x:v>Всего часов</x:v>
      </x:c>
      <x:c r="B11" s="22" t="n">
        <x:f>SUMIFS('Work Days'!J:J,'Work Days'!B:B,$B$3)</x:f>
        <x:v>11.25</x:v>
      </x:c>
      <x:c r="D11" t="str">
        <x:v>Овертайм</x:v>
      </x:c>
      <x:c r="E11" s="20" t="n">
        <x:f>B7</x:f>
        <x:v>61.9775</x:v>
      </x:c>
    </x:row>
    <x:row r="12">
      <x:c r="A12" s="29" t="str">
        <x:v>Овертайм часы</x:v>
      </x:c>
      <x:c r="B12" s="22" t="n">
        <x:f>SUMIFS('Work Days'!L:L,'Work Days'!B:B,$B$3)</x:f>
        <x:v>3.25</x:v>
      </x:c>
      <x:c r="D12" t="str">
        <x:v>Бонус</x:v>
      </x:c>
      <x:c r="E12" s="20" t="n">
        <x:f>B8</x:f>
        <x:v>30.75</x:v>
      </x:c>
    </x:row>
    <x:row r="13">
      <x:c r="A13" s="29" t="str">
        <x:v>Стандарт кг</x:v>
      </x:c>
      <x:c r="B13" s="22" t="n">
        <x:f>SUMIFS('Work Days'!O:O,'Work Days'!B:B,$B$3)</x:f>
        <x:v>89</x:v>
      </x:c>
    </x:row>
    <x:row r="14">
      <x:c r="A14" s="29" t="str">
        <x:v>Рабиш кг</x:v>
      </x:c>
      <x:c r="B14" s="22" t="n">
        <x:f>SUMIFS('Work Days'!P:P,'Work Days'!B:B,$B$3)</x:f>
        <x:v>0</x:v>
      </x:c>
    </x:row>
  </x:sheetData>
  <x:mergeCells>
    <x:mergeCell ref="A1:E1"/>
    <x:mergeCell ref="G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3.380001068115234" hidden="0" customWidth="1"/>
    <x:col min="2" max="2" width="5.630000114440918" hidden="0" customWidth="1"/>
    <x:col min="4" max="4" width="8.75" hidden="0" customWidth="1"/>
    <x:col min="5" max="5" width="23.6299991607666" hidden="0" customWidth="1"/>
  </x:cols>
  <x:sheetData>
    <x:row r="1">
      <x:c r="A1" s="5" t="str">
        <x:v>📊 Season Stats — отдельный раздел</x:v>
      </x:c>
      <x:c r="G1" s="38" t="str">
        <x:v>Created by Azizbay</x:v>
      </x:c>
    </x:row>
    <x:row r="3">
      <x:c r="A3" s="29" t="str">
        <x:v>Всего обычной зарплаты</x:v>
      </x:c>
      <x:c r="B3" s="20" t="n">
        <x:f>SUM('Work Days'!M:M)</x:f>
        <x:v>101.68</x:v>
      </x:c>
      <x:c r="D3" s="14" t="str">
        <x:v>Created by</x:v>
      </x:c>
      <x:c r="E3" s="14" t="str">
        <x:v>Azizbay</x:v>
      </x:c>
    </x:row>
    <x:row r="4">
      <x:c r="A4" s="29" t="str">
        <x:v>Всего заработано на овертайме</x:v>
      </x:c>
      <x:c r="B4" s="20" t="n">
        <x:f>SUM('Work Days'!N:N)</x:f>
        <x:v>61.9775</x:v>
      </x:c>
      <x:c r="D4" t="str">
        <x:v>Бонус</x:v>
      </x:c>
      <x:c r="E4" t="str">
        <x:v>Только стандарт сверх нормы</x:v>
      </x:c>
    </x:row>
    <x:row r="5">
      <x:c r="A5" s="29" t="str">
        <x:v>Всего бонусов</x:v>
      </x:c>
      <x:c r="B5" s="20" t="n">
        <x:f>SUM('Work Days'!R:R)</x:f>
        <x:v>30.75</x:v>
      </x:c>
      <x:c r="D5" t="str">
        <x:v>Рабиш</x:v>
      </x:c>
      <x:c r="E5" t="str">
        <x:v>Отдельно, без бонуса</x:v>
      </x:c>
    </x:row>
    <x:row r="6">
      <x:c r="A6" s="29" t="str">
        <x:v>Общий заработок без бонусов</x:v>
      </x:c>
      <x:c r="B6" s="20" t="n">
        <x:f>SUM('Work Days'!S:S)</x:f>
        <x:v>163.6575</x:v>
      </x:c>
      <x:c r="D6" t="str">
        <x:v>Овертайм</x:v>
      </x:c>
      <x:c r="E6" t="str">
        <x:v>Отдельный заработок</x:v>
      </x:c>
    </x:row>
    <x:row r="7">
      <x:c r="A7" s="29" t="str">
        <x:v>Общий заработок с бонусами</x:v>
      </x:c>
      <x:c r="B7" s="20" t="n">
        <x:f>SUM('Work Days'!T:T)</x:f>
        <x:v>194.4075</x:v>
      </x:c>
      <x:c r="D7" t="str">
        <x:v>Неделя</x:v>
      </x:c>
      <x:c r="E7" t="str">
        <x:v>Пятница → Четверг</x:v>
      </x:c>
    </x:row>
    <x:row r="8">
      <x:c r="A8" s="29" t="str">
        <x:v>Всего часов</x:v>
      </x:c>
      <x:c r="B8" s="22" t="n">
        <x:f>SUM('Work Days'!J:J)</x:f>
        <x:v>11.25</x:v>
      </x:c>
    </x:row>
    <x:row r="9">
      <x:c r="A9" s="29" t="str">
        <x:v>Всего часов овертайма</x:v>
      </x:c>
      <x:c r="B9" s="22" t="n">
        <x:f>SUM('Work Days'!L:L)</x:f>
        <x:v>3.25</x:v>
      </x:c>
    </x:row>
    <x:row r="10">
      <x:c r="A10" s="29" t="str">
        <x:v>Всего стандарт кг</x:v>
      </x:c>
      <x:c r="B10" s="22" t="n">
        <x:f>SUM('Work Days'!O:O)</x:f>
        <x:v>89</x:v>
      </x:c>
    </x:row>
    <x:row r="11">
      <x:c r="A11" s="29" t="str">
        <x:v>Всего рабиш кг</x:v>
      </x:c>
      <x:c r="B11" s="22" t="n">
        <x:f>SUM('Work Days'!P:P)</x:f>
        <x:v>0</x:v>
      </x:c>
    </x:row>
    <x:row r="12">
      <x:c r="A12" s="29" t="str">
        <x:v>Рабочих дней</x:v>
      </x:c>
      <x:c r="B12" s="32" t="n">
        <x:f>COUNT('Work Days'!A:A)</x:f>
        <x:v>1</x:v>
      </x:c>
    </x:row>
    <x:row r="13">
      <x:c r="A13" s="29" t="str">
        <x:v>Средний стандарт кг / день</x:v>
      </x:c>
      <x:c r="B13" s="22" t="n">
        <x:f>IF(B12=0,0,B10/B12)</x:f>
        <x:v>89</x:v>
      </x:c>
    </x:row>
    <x:row r="14">
      <x:c r="A14" s="29" t="str">
        <x:v>Средний заработок / день</x:v>
      </x:c>
      <x:c r="B14" s="20" t="n">
        <x:f>IF(B12=0,0,B6/B12)</x:f>
        <x:v>163.6575</x:v>
      </x:c>
    </x:row>
    <x:row r="15">
      <x:c r="A15" s="29" t="str">
        <x:v>Лучший день по стандарту кг</x:v>
      </x:c>
      <x:c r="B15" s="20" t="n">
        <x:f>MAX('Work Days'!O:O)</x:f>
        <x:v>89</x:v>
      </x:c>
    </x:row>
    <x:row r="16">
      <x:c r="A16" s="29" t="str">
        <x:v>Самый большой бонус за день</x:v>
      </x:c>
      <x:c r="B16" s="20" t="n">
        <x:f>MAX('Work Days'!R:R)</x:f>
        <x:v>30.75</x:v>
      </x:c>
    </x:row>
    <x:row r="17">
      <x:c r="A17" s="29" t="str">
        <x:v>Самый большой заработок за день</x:v>
      </x:c>
      <x:c r="B17" s="20" t="n">
        <x:f>MAX('Work Days'!T:T)</x:f>
        <x:v>194.4075</x:v>
      </x:c>
    </x:row>
  </x:sheetData>
  <x:mergeCells>
    <x:mergeCell ref="A1:E1"/>
    <x:mergeCell ref="G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.3799991607666" hidden="0" customWidth="1"/>
    <x:col min="2" max="2" width="15.630000114440918" hidden="0" customWidth="1"/>
    <x:col min="3" max="3" width="36.25" hidden="0" customWidth="1"/>
    <x:col min="4" max="4" width="12.630000114440918" hidden="0" customWidth="1"/>
  </x:cols>
  <x:sheetData>
    <x:row r="1">
      <x:c r="A1" s="5" t="str">
        <x:v>Berry Pay — Settings</x:v>
      </x:c>
    </x:row>
    <x:row r="3">
      <x:c r="A3" s="14" t="str">
        <x:v>Параметр</x:v>
      </x:c>
      <x:c r="B3" s="14" t="str">
        <x:v>Значение</x:v>
      </x:c>
      <x:c r="C3" s="14" t="str">
        <x:v>Описание</x:v>
      </x:c>
      <x:c r="D3" s="14" t="str">
        <x:v>Можно менять</x:v>
      </x:c>
    </x:row>
    <x:row r="4">
      <x:c r="A4" t="str">
        <x:v>Создатель</x:v>
      </x:c>
      <x:c r="B4" t="str">
        <x:v>Azizbay</x:v>
      </x:c>
      <x:c r="C4" t="str">
        <x:v>Отображается в профиле / About</x:v>
      </x:c>
      <x:c r="D4" t="str">
        <x:v>Да</x:v>
      </x:c>
    </x:row>
    <x:row r="5">
      <x:c r="A5" t="str">
        <x:v>Почасовая ставка</x:v>
      </x:c>
      <x:c r="B5" s="20" t="n">
        <x:v>12.71</x:v>
      </x:c>
      <x:c r="C5" t="str">
        <x:v>Обычная оплата за час</x:v>
      </x:c>
      <x:c r="D5" t="str">
        <x:v>Да</x:v>
      </x:c>
    </x:row>
    <x:row r="6">
      <x:c r="A6" t="str">
        <x:v>Ставка овертайма</x:v>
      </x:c>
      <x:c r="B6" s="20" t="n">
        <x:v>19.07</x:v>
      </x:c>
      <x:c r="C6" t="str">
        <x:v>Оплата за каждый час овертайма</x:v>
      </x:c>
      <x:c r="D6" t="str">
        <x:v>Да</x:v>
      </x:c>
    </x:row>
    <x:row r="7">
      <x:c r="A7" t="str">
        <x:v>Норма стандарта кг</x:v>
      </x:c>
      <x:c r="B7" s="22" t="n">
        <x:v>48</x:v>
      </x:c>
      <x:c r="C7" t="str">
        <x:v>Бонус считается только после этой нормы</x:v>
      </x:c>
      <x:c r="D7" t="str">
        <x:v>Да</x:v>
      </x:c>
    </x:row>
    <x:row r="8">
      <x:c r="A8" t="str">
        <x:v>Бонус за 1 кг</x:v>
      </x:c>
      <x:c r="B8" s="20" t="n">
        <x:v>0.75</x:v>
      </x:c>
      <x:c r="C8" t="str">
        <x:v>Только стандарт, рабиш не входит</x:v>
      </x:c>
      <x:c r="D8" t="str">
        <x:v>Да</x:v>
      </x:c>
    </x:row>
    <x:row r="9">
      <x:c r="A9" t="str">
        <x:v>Рабочая неделя</x:v>
      </x:c>
      <x:c r="B9" t="str">
        <x:v>Пятница → Четверг</x:v>
      </x:c>
      <x:c r="C9" t="str">
        <x:v>Неделя закрывается в четверг</x:v>
      </x:c>
      <x:c r="D9" t="str">
        <x:v>Нет</x:v>
      </x:c>
    </x:row>
    <x:row r="10">
      <x:c r="A10" t="str">
        <x:v>День выплаты</x:v>
      </x:c>
      <x:c r="B10" t="str">
        <x:v>Пятница</x:v>
      </x:c>
      <x:c r="C10" t="str">
        <x:v>Оплата в пятницу после закрытия недели</x:v>
      </x:c>
      <x:c r="D10" t="str">
        <x:v>Нет</x:v>
      </x:c>
    </x:row>
    <x:row r="11">
      <x:c r="A11" t="str">
        <x:v>Break time</x:v>
      </x:c>
      <x:c r="B11" s="24" t="n">
        <x:v>0.3333333333333333</x:v>
      </x:c>
      <x:c r="C11" t="str">
        <x:v>Если смена пересекает 08:00 — минус 15 мин</x:v>
      </x:c>
      <x:c r="D11" t="str">
        <x:v>Да</x:v>
      </x:c>
    </x:row>
    <x:row r="12">
      <x:c r="A12" t="str">
        <x:v>Break minutes</x:v>
      </x:c>
      <x:c r="B12" s="24" t="n">
        <x:v>15</x:v>
      </x:c>
      <x:c r="C12" t="str">
        <x:v>15 минут</x:v>
      </x:c>
      <x:c r="D12" t="str">
        <x:v>Да</x:v>
      </x:c>
    </x:row>
    <x:row r="13">
      <x:c r="A13" t="str">
        <x:v>Lunch time</x:v>
      </x:c>
      <x:c r="B13" s="24" t="n">
        <x:v>0.4583333333333333</x:v>
      </x:c>
      <x:c r="C13" t="str">
        <x:v>Если смена пересекает 11:00 — минус 30 мин</x:v>
      </x:c>
      <x:c r="D13" t="str">
        <x:v>Да</x:v>
      </x:c>
    </x:row>
    <x:row r="14">
      <x:c r="A14" t="str">
        <x:v>Lunch minutes</x:v>
      </x:c>
      <x:c r="B14" t="n">
        <x:v>30</x:v>
      </x:c>
      <x:c r="C14" t="str">
        <x:v>30 минут</x:v>
      </x:c>
      <x:c r="D14" t="str">
        <x:v>Да</x:v>
      </x:c>
    </x:row>
    <x:row r="15">
      <x:c r="A15" t="str">
        <x:v>Начало сезона</x:v>
      </x:c>
      <x:c r="B15" s="26" t="n">
        <x:v>46199</x:v>
      </x:c>
      <x:c r="C15" t="str">
        <x:v>Поставь первую пятницу сезона</x:v>
      </x:c>
      <x:c r="D15" t="str">
        <x:v>Да</x:v>
      </x:c>
    </x:row>
  </x:sheetData>
  <x:mergeCells>
    <x:mergeCell ref="A1:D1"/>
  </x:mergeCells>
  <x:pageMargins left="0.7" right="0.7" top="0.75" bottom="0.75" header="0.3" footer="0.3"/>
</x:worksheet>
</file>